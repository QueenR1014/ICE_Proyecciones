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BCBCB42D-3E6E-4E9B-ABC4-8D7002EB7668}" xr6:coauthVersionLast="47" xr6:coauthVersionMax="47" xr10:uidLastSave="{00000000-0000-0000-0000-000000000000}"/>
  <bookViews>
    <workbookView xWindow="-120" yWindow="-120" windowWidth="29040" windowHeight="15840" firstSheet="1" activeTab="1" xr2:uid="{A3B4AD7B-0ED6-4521-BD6B-44541A0DC533}"/>
  </bookViews>
  <sheets>
    <sheet name="C1P" sheetId="2" state="hidden" r:id="rId1"/>
    <sheet name="PIB oferta anual" sheetId="4" r:id="rId2"/>
    <sheet name="PIB demanda anual" sheetId="6" r:id="rId3"/>
    <sheet name="C1G" sheetId="3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2" i="6" l="1"/>
  <c r="X12" i="6"/>
  <c r="Y12" i="6"/>
  <c r="Z12" i="6"/>
  <c r="AA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AA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X17" i="6" s="1"/>
  <c r="Y17" i="6" s="1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W14" i="4"/>
  <c r="X14" i="4" s="1"/>
  <c r="W15" i="4"/>
  <c r="X15" i="4" s="1"/>
  <c r="W16" i="4"/>
  <c r="X16" i="4" s="1"/>
  <c r="X34" i="4"/>
  <c r="X35" i="4"/>
  <c r="W34" i="4"/>
  <c r="Y34" i="4" s="1"/>
  <c r="W35" i="4"/>
  <c r="Y35" i="4" s="1"/>
  <c r="W36" i="4"/>
  <c r="Y36" i="4" s="1"/>
  <c r="W37" i="4"/>
  <c r="W17" i="4" s="1"/>
  <c r="X17" i="4" s="1"/>
  <c r="W38" i="4"/>
  <c r="W18" i="4" s="1"/>
  <c r="X18" i="4" s="1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X38" i="4" s="1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X37" i="4" s="1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X36" i="4" s="1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J33" i="4"/>
  <c r="K33" i="4"/>
  <c r="L33" i="4"/>
  <c r="M33" i="4"/>
  <c r="N33" i="4"/>
  <c r="O33" i="4"/>
  <c r="P33" i="4"/>
  <c r="Q33" i="4"/>
  <c r="R33" i="4"/>
  <c r="S33" i="4"/>
  <c r="T33" i="4"/>
  <c r="U33" i="4"/>
  <c r="W33" i="4" s="1"/>
  <c r="V33" i="4"/>
  <c r="X33" i="4" s="1"/>
  <c r="J32" i="4"/>
  <c r="K32" i="4"/>
  <c r="L32" i="4"/>
  <c r="M32" i="4"/>
  <c r="N32" i="4"/>
  <c r="O32" i="4"/>
  <c r="P32" i="4"/>
  <c r="Q32" i="4"/>
  <c r="R32" i="4"/>
  <c r="S32" i="4"/>
  <c r="T32" i="4"/>
  <c r="U32" i="4"/>
  <c r="W32" i="4" s="1"/>
  <c r="V32" i="4"/>
  <c r="X32" i="4" s="1"/>
  <c r="J31" i="4"/>
  <c r="K31" i="4"/>
  <c r="L31" i="4"/>
  <c r="M31" i="4"/>
  <c r="N31" i="4"/>
  <c r="O31" i="4"/>
  <c r="P31" i="4"/>
  <c r="Q31" i="4"/>
  <c r="R31" i="4"/>
  <c r="S31" i="4"/>
  <c r="T31" i="4"/>
  <c r="U31" i="4"/>
  <c r="W31" i="4" s="1"/>
  <c r="V31" i="4"/>
  <c r="J30" i="4"/>
  <c r="K30" i="4"/>
  <c r="L30" i="4"/>
  <c r="M30" i="4"/>
  <c r="N30" i="4"/>
  <c r="O30" i="4"/>
  <c r="P30" i="4"/>
  <c r="Q30" i="4"/>
  <c r="R30" i="4"/>
  <c r="S30" i="4"/>
  <c r="T30" i="4"/>
  <c r="U30" i="4"/>
  <c r="W30" i="4" s="1"/>
  <c r="V30" i="4"/>
  <c r="X30" i="4" s="1"/>
  <c r="J29" i="4"/>
  <c r="K29" i="4"/>
  <c r="L29" i="4"/>
  <c r="M29" i="4"/>
  <c r="N29" i="4"/>
  <c r="O29" i="4"/>
  <c r="P29" i="4"/>
  <c r="Q29" i="4"/>
  <c r="R29" i="4"/>
  <c r="S29" i="4"/>
  <c r="T29" i="4"/>
  <c r="U29" i="4"/>
  <c r="W29" i="4" s="1"/>
  <c r="V29" i="4"/>
  <c r="J28" i="4"/>
  <c r="K28" i="4"/>
  <c r="L28" i="4"/>
  <c r="M28" i="4"/>
  <c r="N28" i="4"/>
  <c r="O28" i="4"/>
  <c r="P28" i="4"/>
  <c r="Q28" i="4"/>
  <c r="R28" i="4"/>
  <c r="S28" i="4"/>
  <c r="T28" i="4"/>
  <c r="U28" i="4"/>
  <c r="W28" i="4" s="1"/>
  <c r="V28" i="4"/>
  <c r="X28" i="4" s="1"/>
  <c r="J27" i="4"/>
  <c r="K27" i="4"/>
  <c r="L27" i="4"/>
  <c r="M27" i="4"/>
  <c r="N27" i="4"/>
  <c r="O27" i="4"/>
  <c r="P27" i="4"/>
  <c r="Q27" i="4"/>
  <c r="R27" i="4"/>
  <c r="S27" i="4"/>
  <c r="T27" i="4"/>
  <c r="U27" i="4"/>
  <c r="W27" i="4" s="1"/>
  <c r="V27" i="4"/>
  <c r="X27" i="4" s="1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D30" i="4"/>
  <c r="D31" i="4"/>
  <c r="D32" i="4"/>
  <c r="D33" i="4"/>
  <c r="D34" i="4"/>
  <c r="D35" i="4"/>
  <c r="D36" i="4"/>
  <c r="D37" i="4"/>
  <c r="D38" i="4"/>
  <c r="C27" i="4"/>
  <c r="C28" i="4"/>
  <c r="C29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W26" i="4" s="1"/>
  <c r="W6" i="4" s="1"/>
  <c r="X6" i="4" s="1"/>
  <c r="Y6" i="4" s="1"/>
  <c r="V26" i="4"/>
  <c r="X26" i="4" s="1"/>
  <c r="Y26" i="4" s="1"/>
  <c r="C26" i="4"/>
  <c r="C30" i="4"/>
  <c r="C31" i="4"/>
  <c r="C32" i="4"/>
  <c r="C33" i="4"/>
  <c r="C34" i="4"/>
  <c r="C35" i="4"/>
  <c r="C36" i="4"/>
  <c r="C37" i="4"/>
  <c r="C38" i="4"/>
  <c r="W11" i="6"/>
  <c r="X11" i="6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Z35" i="4" l="1"/>
  <c r="AA35" i="4" s="1"/>
  <c r="Z34" i="4"/>
  <c r="AA34" i="4" s="1"/>
  <c r="W9" i="4"/>
  <c r="X9" i="4" s="1"/>
  <c r="Y29" i="4"/>
  <c r="Y16" i="4"/>
  <c r="Z16" i="4" s="1"/>
  <c r="Y15" i="4"/>
  <c r="Z15" i="4" s="1"/>
  <c r="Y18" i="4"/>
  <c r="W7" i="4"/>
  <c r="X7" i="4" s="1"/>
  <c r="Y7" i="4" s="1"/>
  <c r="Y27" i="4"/>
  <c r="Y14" i="4"/>
  <c r="Z36" i="4"/>
  <c r="AA36" i="4" s="1"/>
  <c r="Y33" i="4"/>
  <c r="Z33" i="4" s="1"/>
  <c r="W13" i="4"/>
  <c r="X13" i="4" s="1"/>
  <c r="Y13" i="4" s="1"/>
  <c r="W11" i="4"/>
  <c r="X31" i="4"/>
  <c r="Y31" i="4"/>
  <c r="Y32" i="4"/>
  <c r="Z32" i="4" s="1"/>
  <c r="W12" i="4"/>
  <c r="X12" i="4" s="1"/>
  <c r="Y12" i="4" s="1"/>
  <c r="Y30" i="4"/>
  <c r="W10" i="4"/>
  <c r="X10" i="4" s="1"/>
  <c r="Z37" i="4"/>
  <c r="Z30" i="4"/>
  <c r="Z28" i="4"/>
  <c r="W8" i="4"/>
  <c r="X8" i="4" s="1"/>
  <c r="Y8" i="4" s="1"/>
  <c r="Z8" i="4" s="1"/>
  <c r="Y28" i="4"/>
  <c r="X29" i="4"/>
  <c r="Y38" i="4"/>
  <c r="Y37" i="4"/>
  <c r="Y11" i="6"/>
  <c r="Z6" i="6"/>
  <c r="Y20" i="6"/>
  <c r="Z20" i="6" s="1"/>
  <c r="AA20" i="6" s="1"/>
  <c r="W16" i="6"/>
  <c r="X16" i="6" s="1"/>
  <c r="I12" i="6"/>
  <c r="Z19" i="6"/>
  <c r="AA19" i="6" s="1"/>
  <c r="Z18" i="6"/>
  <c r="AA18" i="6" s="1"/>
  <c r="Z17" i="6"/>
  <c r="AA17" i="6" s="1"/>
  <c r="Z26" i="4"/>
  <c r="AA26" i="4" s="1"/>
  <c r="U11" i="6"/>
  <c r="U12" i="6" s="1"/>
  <c r="T11" i="6"/>
  <c r="T12" i="6" s="1"/>
  <c r="H11" i="2"/>
  <c r="C19" i="4"/>
  <c r="D19" i="4"/>
  <c r="D20" i="4" s="1"/>
  <c r="E19" i="4"/>
  <c r="F19" i="4"/>
  <c r="G19" i="4"/>
  <c r="G20" i="4" s="1"/>
  <c r="H19" i="4"/>
  <c r="H20" i="4" s="1"/>
  <c r="I19" i="4"/>
  <c r="I20" i="4" s="1"/>
  <c r="J19" i="4"/>
  <c r="K19" i="4"/>
  <c r="K20" i="4" s="1"/>
  <c r="L19" i="4"/>
  <c r="L20" i="4" s="1"/>
  <c r="M19" i="4"/>
  <c r="N19" i="4"/>
  <c r="O19" i="4"/>
  <c r="P19" i="4"/>
  <c r="Q19" i="4"/>
  <c r="R19" i="4"/>
  <c r="S19" i="4"/>
  <c r="T19" i="4"/>
  <c r="T20" i="4" s="1"/>
  <c r="U19" i="4"/>
  <c r="V19" i="4"/>
  <c r="V20" i="4" s="1"/>
  <c r="B19" i="4"/>
  <c r="CF5" i="2"/>
  <c r="I3" i="2"/>
  <c r="H3" i="2"/>
  <c r="AA30" i="4" l="1"/>
  <c r="Z12" i="4"/>
  <c r="Y10" i="4"/>
  <c r="Z10" i="4" s="1"/>
  <c r="AA10" i="4" s="1"/>
  <c r="Y9" i="4"/>
  <c r="Z9" i="4" s="1"/>
  <c r="AA15" i="4"/>
  <c r="AA29" i="4"/>
  <c r="Z31" i="4"/>
  <c r="AA31" i="4" s="1"/>
  <c r="X11" i="4"/>
  <c r="Y11" i="4" s="1"/>
  <c r="Z11" i="4" s="1"/>
  <c r="AA27" i="4"/>
  <c r="Z6" i="4"/>
  <c r="AA6" i="4" s="1"/>
  <c r="AA37" i="4"/>
  <c r="Z13" i="4"/>
  <c r="AA13" i="4" s="1"/>
  <c r="AA38" i="4"/>
  <c r="AA33" i="4"/>
  <c r="Z29" i="4"/>
  <c r="AA32" i="4"/>
  <c r="Z27" i="4"/>
  <c r="Z7" i="4" s="1"/>
  <c r="AA7" i="4" s="1"/>
  <c r="Z38" i="4"/>
  <c r="Z18" i="4" s="1"/>
  <c r="AA18" i="4" s="1"/>
  <c r="AA16" i="4"/>
  <c r="AA28" i="4"/>
  <c r="AA8" i="4" s="1"/>
  <c r="Z14" i="4"/>
  <c r="AA14" i="4" s="1"/>
  <c r="Y17" i="4"/>
  <c r="Z17" i="4" s="1"/>
  <c r="Z11" i="6"/>
  <c r="AA6" i="6"/>
  <c r="AA11" i="6" s="1"/>
  <c r="Y16" i="6"/>
  <c r="Z16" i="6"/>
  <c r="AA16" i="6" s="1"/>
  <c r="V12" i="6"/>
  <c r="E20" i="4"/>
  <c r="R20" i="4"/>
  <c r="Q20" i="4"/>
  <c r="S20" i="4"/>
  <c r="J20" i="4"/>
  <c r="F20" i="4"/>
  <c r="U20" i="4"/>
  <c r="W20" i="4" s="1"/>
  <c r="M20" i="4"/>
  <c r="C20" i="4"/>
  <c r="O20" i="4"/>
  <c r="N20" i="4"/>
  <c r="P20" i="4"/>
  <c r="AA12" i="4" l="1"/>
  <c r="AA17" i="4"/>
  <c r="AA11" i="4"/>
  <c r="AA9" i="4"/>
  <c r="X20" i="4"/>
  <c r="Y20" i="4" l="1"/>
  <c r="Z20" i="4" s="1"/>
  <c r="AA20" i="4" s="1"/>
  <c r="W19" i="4"/>
  <c r="X19" i="4" l="1"/>
  <c r="Y19" i="4" l="1"/>
  <c r="AA19" i="4" l="1"/>
  <c r="Z19" i="4"/>
</calcChain>
</file>

<file path=xl/sharedStrings.xml><?xml version="1.0" encoding="utf-8"?>
<sst xmlns="http://schemas.openxmlformats.org/spreadsheetml/2006/main" count="775" uniqueCount="87">
  <si>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</si>
  <si>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</si>
  <si>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</si>
  <si>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</si>
  <si>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</si>
  <si>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</si>
  <si>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</si>
  <si>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</si>
  <si>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</si>
  <si>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</si>
  <si>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</si>
  <si>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</si>
  <si>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</si>
  <si>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</si>
  <si>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</si>
  <si>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</si>
  <si>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</si>
  <si>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</si>
  <si>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</si>
  <si>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</si>
  <si>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</si>
  <si>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</si>
  <si>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</si>
  <si>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</si>
  <si>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</si>
  <si>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</si>
  <si>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</si>
  <si>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</si>
  <si>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</si>
  <si>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</si>
  <si>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</si>
  <si>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</si>
  <si>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</si>
  <si>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</si>
  <si>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</si>
  <si>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</si>
  <si>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</si>
  <si>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</si>
  <si>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</si>
  <si>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</si>
  <si>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</si>
  <si>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</si>
  <si>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</si>
  <si>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</si>
  <si>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</si>
  <si>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</si>
  <si>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</si>
  <si>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</si>
  <si>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</si>
  <si>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</si>
  <si>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</si>
  <si>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</si>
  <si>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</si>
  <si>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</si>
  <si>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</si>
  <si>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</si>
  <si>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</si>
  <si>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</si>
  <si>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</si>
  <si>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</si>
  <si>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</si>
  <si>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</si>
  <si>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</si>
  <si>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</si>
  <si>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</si>
  <si>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</si>
  <si>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</si>
  <si>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</si>
  <si>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</si>
  <si>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</si>
  <si>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</si>
  <si>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</si>
  <si>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</si>
  <si>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</si>
  <si>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</si>
  <si>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</si>
  <si>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</si>
  <si>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</si>
  <si>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</si>
  <si>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</si>
  <si>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</si>
  <si>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</si>
  <si>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</si>
  <si>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</si>
  <si>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</si>
  <si>
    <t>Tasa de Crecimiento</t>
  </si>
  <si>
    <t>Suma Agregada por Oferta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</si>
</sst>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0" fillId="9" borderId="12" xfId="0" applyNumberForma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27" fillId="9" borderId="12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center" vertical="center"/>
    </xf>
    <xf numFmtId="168" fontId="27" fillId="9" borderId="12" xfId="1" applyNumberFormat="1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6" fillId="8" borderId="9" xfId="0" applyFont="1" applyFill="1" applyBorder="1" applyAlignment="1">
      <alignment horizontal="center" vertical="center" wrapText="1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67"/>
      <c r="B1" s="167"/>
      <c r="C1" s="167"/>
      <c r="D1" s="167"/>
      <c r="E1" s="167"/>
      <c r="F1" s="167"/>
      <c r="G1" s="167"/>
    </row>
    <row r="2" spans="1:87" ht="9" customHeight="1" x14ac:dyDescent="0.2">
      <c r="A2" s="167"/>
      <c r="B2" s="167"/>
      <c r="C2" s="167"/>
      <c r="D2" s="167"/>
      <c r="E2" s="167"/>
      <c r="F2" s="167"/>
      <c r="G2" s="167"/>
    </row>
    <row r="3" spans="1:87" s="3" customFormat="1" ht="42" customHeight="1" x14ac:dyDescent="0.3">
      <c r="A3" s="167"/>
      <c r="B3" s="167"/>
      <c r="C3" s="167"/>
      <c r="D3" s="167"/>
      <c r="E3" s="167"/>
      <c r="F3" s="167"/>
      <c r="G3" s="167"/>
      <c r="H3" s="149">
        <f>SUM(D15:G15)</f>
        <v>37909</v>
      </c>
      <c r="I3" s="149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68" t="s">
        <v>0</v>
      </c>
      <c r="B5" s="168"/>
      <c r="C5" s="168"/>
      <c r="D5" s="168"/>
      <c r="E5" s="168"/>
      <c r="F5" s="168"/>
      <c r="G5" s="168"/>
      <c r="CF5" s="150">
        <f>SUM(CF15:CI15)</f>
        <v>63888.120954066384</v>
      </c>
    </row>
    <row r="6" spans="1:87" s="4" customFormat="1" ht="14.45" customHeight="1" x14ac:dyDescent="0.35">
      <c r="A6" s="168"/>
      <c r="B6" s="168"/>
      <c r="C6" s="168"/>
      <c r="D6" s="168"/>
      <c r="E6" s="168"/>
      <c r="F6" s="168"/>
      <c r="G6" s="168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63" t="s">
        <v>8</v>
      </c>
      <c r="B12" s="161" t="s">
        <v>9</v>
      </c>
      <c r="C12" s="161" t="s">
        <v>10</v>
      </c>
      <c r="D12" s="161">
        <v>2005</v>
      </c>
      <c r="E12" s="161"/>
      <c r="F12" s="161"/>
      <c r="G12" s="161"/>
      <c r="H12" s="161">
        <v>2006</v>
      </c>
      <c r="I12" s="161"/>
      <c r="J12" s="161"/>
      <c r="K12" s="161"/>
      <c r="L12" s="161">
        <v>2007</v>
      </c>
      <c r="M12" s="161"/>
      <c r="N12" s="161"/>
      <c r="O12" s="161"/>
      <c r="P12" s="161">
        <v>2008</v>
      </c>
      <c r="Q12" s="161"/>
      <c r="R12" s="161"/>
      <c r="S12" s="161"/>
      <c r="T12" s="161">
        <v>2009</v>
      </c>
      <c r="U12" s="161"/>
      <c r="V12" s="161"/>
      <c r="W12" s="161"/>
      <c r="X12" s="161">
        <v>2010</v>
      </c>
      <c r="Y12" s="161"/>
      <c r="Z12" s="161"/>
      <c r="AA12" s="161"/>
      <c r="AB12" s="161">
        <v>2011</v>
      </c>
      <c r="AC12" s="161"/>
      <c r="AD12" s="161"/>
      <c r="AE12" s="161"/>
      <c r="AF12" s="161">
        <v>2012</v>
      </c>
      <c r="AG12" s="161"/>
      <c r="AH12" s="161"/>
      <c r="AI12" s="161"/>
      <c r="AJ12" s="161">
        <v>2013</v>
      </c>
      <c r="AK12" s="161"/>
      <c r="AL12" s="161"/>
      <c r="AM12" s="161"/>
      <c r="AN12" s="161">
        <v>2014</v>
      </c>
      <c r="AO12" s="161"/>
      <c r="AP12" s="161"/>
      <c r="AQ12" s="161"/>
      <c r="AR12" s="161">
        <v>2015</v>
      </c>
      <c r="AS12" s="161"/>
      <c r="AT12" s="161"/>
      <c r="AU12" s="161"/>
      <c r="AV12" s="161">
        <v>2016</v>
      </c>
      <c r="AW12" s="161"/>
      <c r="AX12" s="161"/>
      <c r="AY12" s="161"/>
      <c r="AZ12" s="161">
        <v>2017</v>
      </c>
      <c r="BA12" s="161"/>
      <c r="BB12" s="161"/>
      <c r="BC12" s="161"/>
      <c r="BD12" s="161">
        <v>2018</v>
      </c>
      <c r="BE12" s="161"/>
      <c r="BF12" s="161"/>
      <c r="BG12" s="161"/>
      <c r="BH12" s="161">
        <v>2019</v>
      </c>
      <c r="BI12" s="161"/>
      <c r="BJ12" s="161"/>
      <c r="BK12" s="161"/>
      <c r="BL12" s="161">
        <v>2020</v>
      </c>
      <c r="BM12" s="161"/>
      <c r="BN12" s="161"/>
      <c r="BO12" s="161"/>
      <c r="BP12" s="161">
        <v>2021</v>
      </c>
      <c r="BQ12" s="161"/>
      <c r="BR12" s="161"/>
      <c r="BS12" s="161"/>
      <c r="BT12" s="161">
        <v>2022</v>
      </c>
      <c r="BU12" s="161"/>
      <c r="BV12" s="161"/>
      <c r="BW12" s="161"/>
      <c r="BX12" s="161">
        <v>2023</v>
      </c>
      <c r="BY12" s="161" t="s">
        <v>11</v>
      </c>
      <c r="BZ12" s="161"/>
      <c r="CA12" s="161"/>
      <c r="CB12" s="161" t="s">
        <v>12</v>
      </c>
      <c r="CC12" s="161" t="s">
        <v>11</v>
      </c>
      <c r="CD12" s="161"/>
      <c r="CE12" s="161"/>
      <c r="CF12" s="161" t="s">
        <v>13</v>
      </c>
      <c r="CG12" s="161" t="s">
        <v>11</v>
      </c>
      <c r="CH12" s="161"/>
      <c r="CI12" s="162"/>
    </row>
    <row r="13" spans="1:87" s="13" customFormat="1" ht="12" customHeight="1" x14ac:dyDescent="0.25">
      <c r="A13" s="164"/>
      <c r="B13" s="165"/>
      <c r="C13" s="165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66" t="s">
        <v>0</v>
      </c>
      <c r="B39" s="166"/>
      <c r="C39" s="166"/>
      <c r="D39" s="166"/>
      <c r="E39" s="166"/>
      <c r="F39" s="166"/>
      <c r="G39" s="166"/>
    </row>
    <row r="40" spans="1:87" s="2" customFormat="1" ht="14.25" customHeight="1" x14ac:dyDescent="0.2">
      <c r="A40" s="166"/>
      <c r="B40" s="166"/>
      <c r="C40" s="166"/>
      <c r="D40" s="166"/>
      <c r="E40" s="166"/>
      <c r="F40" s="166"/>
      <c r="G40" s="166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63" t="s">
        <v>8</v>
      </c>
      <c r="B45" s="161" t="s">
        <v>9</v>
      </c>
      <c r="C45" s="161" t="s">
        <v>10</v>
      </c>
      <c r="D45" s="161"/>
      <c r="E45" s="161"/>
      <c r="F45" s="161"/>
      <c r="G45" s="161"/>
      <c r="H45" s="161">
        <v>2006</v>
      </c>
      <c r="I45" s="161"/>
      <c r="J45" s="161"/>
      <c r="K45" s="161"/>
      <c r="L45" s="161">
        <v>2007</v>
      </c>
      <c r="M45" s="161"/>
      <c r="N45" s="161"/>
      <c r="O45" s="161"/>
      <c r="P45" s="161">
        <v>2008</v>
      </c>
      <c r="Q45" s="161"/>
      <c r="R45" s="161"/>
      <c r="S45" s="161"/>
      <c r="T45" s="161">
        <v>2009</v>
      </c>
      <c r="U45" s="161"/>
      <c r="V45" s="161"/>
      <c r="W45" s="161"/>
      <c r="X45" s="161">
        <v>2010</v>
      </c>
      <c r="Y45" s="161"/>
      <c r="Z45" s="161"/>
      <c r="AA45" s="161"/>
      <c r="AB45" s="161">
        <v>2011</v>
      </c>
      <c r="AC45" s="161"/>
      <c r="AD45" s="161"/>
      <c r="AE45" s="161"/>
      <c r="AF45" s="161">
        <v>2012</v>
      </c>
      <c r="AG45" s="161"/>
      <c r="AH45" s="161"/>
      <c r="AI45" s="161"/>
      <c r="AJ45" s="161">
        <v>2013</v>
      </c>
      <c r="AK45" s="161"/>
      <c r="AL45" s="161"/>
      <c r="AM45" s="161"/>
      <c r="AN45" s="161">
        <v>2014</v>
      </c>
      <c r="AO45" s="161"/>
      <c r="AP45" s="161"/>
      <c r="AQ45" s="161"/>
      <c r="AR45" s="161">
        <v>2015</v>
      </c>
      <c r="AS45" s="161"/>
      <c r="AT45" s="161"/>
      <c r="AU45" s="161"/>
      <c r="AV45" s="161">
        <v>2016</v>
      </c>
      <c r="AW45" s="161"/>
      <c r="AX45" s="161"/>
      <c r="AY45" s="161"/>
      <c r="AZ45" s="161">
        <v>2017</v>
      </c>
      <c r="BA45" s="161"/>
      <c r="BB45" s="161"/>
      <c r="BC45" s="161"/>
      <c r="BD45" s="161">
        <v>2018</v>
      </c>
      <c r="BE45" s="161"/>
      <c r="BF45" s="161"/>
      <c r="BG45" s="161"/>
      <c r="BH45" s="161">
        <v>2019</v>
      </c>
      <c r="BI45" s="161"/>
      <c r="BJ45" s="161"/>
      <c r="BK45" s="161"/>
      <c r="BL45" s="161">
        <v>2020</v>
      </c>
      <c r="BM45" s="161"/>
      <c r="BN45" s="161"/>
      <c r="BO45" s="161"/>
      <c r="BP45" s="161">
        <v>2021</v>
      </c>
      <c r="BQ45" s="161"/>
      <c r="BR45" s="161"/>
      <c r="BS45" s="161"/>
      <c r="BT45" s="161">
        <v>2022</v>
      </c>
      <c r="BU45" s="161"/>
      <c r="BV45" s="161"/>
      <c r="BW45" s="161"/>
      <c r="BX45" s="161">
        <v>2023</v>
      </c>
      <c r="BY45" s="161" t="s">
        <v>11</v>
      </c>
      <c r="BZ45" s="161"/>
      <c r="CA45" s="161"/>
      <c r="CB45" s="161" t="s">
        <v>12</v>
      </c>
      <c r="CC45" s="161" t="s">
        <v>11</v>
      </c>
      <c r="CD45" s="161"/>
      <c r="CE45" s="161"/>
      <c r="CF45" s="161" t="s">
        <v>13</v>
      </c>
      <c r="CG45" s="161" t="s">
        <v>11</v>
      </c>
      <c r="CH45" s="161"/>
      <c r="CI45" s="162"/>
    </row>
    <row r="46" spans="1:87" s="13" customFormat="1" ht="12" customHeight="1" x14ac:dyDescent="0.25">
      <c r="A46" s="164"/>
      <c r="B46" s="165"/>
      <c r="C46" s="165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66" t="s">
        <v>0</v>
      </c>
      <c r="B72" s="166"/>
      <c r="C72" s="166"/>
      <c r="D72" s="166"/>
      <c r="E72" s="166"/>
      <c r="F72" s="166"/>
      <c r="G72" s="166"/>
    </row>
    <row r="73" spans="1:87" s="2" customFormat="1" ht="14.25" customHeight="1" x14ac:dyDescent="0.2">
      <c r="A73" s="166"/>
      <c r="B73" s="166"/>
      <c r="C73" s="166"/>
      <c r="D73" s="166"/>
      <c r="E73" s="166"/>
      <c r="F73" s="166"/>
      <c r="G73" s="166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63" t="s">
        <v>8</v>
      </c>
      <c r="B78" s="161" t="s">
        <v>9</v>
      </c>
      <c r="C78" s="161" t="s">
        <v>10</v>
      </c>
      <c r="D78" s="161"/>
      <c r="E78" s="161"/>
      <c r="F78" s="161"/>
      <c r="G78" s="161"/>
      <c r="H78" s="161">
        <v>2006</v>
      </c>
      <c r="I78" s="161"/>
      <c r="J78" s="161"/>
      <c r="K78" s="161"/>
      <c r="L78" s="161">
        <v>2007</v>
      </c>
      <c r="M78" s="161"/>
      <c r="N78" s="161"/>
      <c r="O78" s="161"/>
      <c r="P78" s="161">
        <v>2008</v>
      </c>
      <c r="Q78" s="161"/>
      <c r="R78" s="161"/>
      <c r="S78" s="161"/>
      <c r="T78" s="161">
        <v>2009</v>
      </c>
      <c r="U78" s="161"/>
      <c r="V78" s="161"/>
      <c r="W78" s="161"/>
      <c r="X78" s="161">
        <v>2010</v>
      </c>
      <c r="Y78" s="161"/>
      <c r="Z78" s="161"/>
      <c r="AA78" s="161"/>
      <c r="AB78" s="161">
        <v>2011</v>
      </c>
      <c r="AC78" s="161"/>
      <c r="AD78" s="161"/>
      <c r="AE78" s="161"/>
      <c r="AF78" s="161">
        <v>2012</v>
      </c>
      <c r="AG78" s="161"/>
      <c r="AH78" s="161"/>
      <c r="AI78" s="161"/>
      <c r="AJ78" s="161">
        <v>2013</v>
      </c>
      <c r="AK78" s="161"/>
      <c r="AL78" s="161"/>
      <c r="AM78" s="161"/>
      <c r="AN78" s="161">
        <v>2014</v>
      </c>
      <c r="AO78" s="161"/>
      <c r="AP78" s="161"/>
      <c r="AQ78" s="161"/>
      <c r="AR78" s="161">
        <v>2015</v>
      </c>
      <c r="AS78" s="161"/>
      <c r="AT78" s="161"/>
      <c r="AU78" s="161"/>
      <c r="AV78" s="161">
        <v>2016</v>
      </c>
      <c r="AW78" s="161"/>
      <c r="AX78" s="161"/>
      <c r="AY78" s="161"/>
      <c r="AZ78" s="161">
        <v>2017</v>
      </c>
      <c r="BA78" s="161"/>
      <c r="BB78" s="161"/>
      <c r="BC78" s="161"/>
      <c r="BD78" s="161">
        <v>2018</v>
      </c>
      <c r="BE78" s="161"/>
      <c r="BF78" s="161"/>
      <c r="BG78" s="161"/>
      <c r="BH78" s="161">
        <v>2019</v>
      </c>
      <c r="BI78" s="161"/>
      <c r="BJ78" s="161"/>
      <c r="BK78" s="161"/>
      <c r="BL78" s="161">
        <v>2020</v>
      </c>
      <c r="BM78" s="161"/>
      <c r="BN78" s="161"/>
      <c r="BO78" s="161"/>
      <c r="BP78" s="161">
        <v>2021</v>
      </c>
      <c r="BQ78" s="161"/>
      <c r="BR78" s="161"/>
      <c r="BS78" s="161"/>
      <c r="BT78" s="161">
        <v>2022</v>
      </c>
      <c r="BU78" s="161"/>
      <c r="BV78" s="161"/>
      <c r="BW78" s="161"/>
      <c r="BX78" s="161">
        <v>2023</v>
      </c>
      <c r="BY78" s="161" t="s">
        <v>11</v>
      </c>
      <c r="BZ78" s="161"/>
      <c r="CA78" s="161"/>
      <c r="CB78" s="161" t="s">
        <v>12</v>
      </c>
      <c r="CC78" s="161" t="s">
        <v>11</v>
      </c>
      <c r="CD78" s="161"/>
      <c r="CE78" s="161"/>
      <c r="CF78" s="161" t="s">
        <v>13</v>
      </c>
      <c r="CG78" s="161" t="s">
        <v>11</v>
      </c>
      <c r="CH78" s="161"/>
      <c r="CI78" s="162"/>
    </row>
    <row r="79" spans="1:87" s="13" customFormat="1" ht="12" customHeight="1" x14ac:dyDescent="0.25">
      <c r="A79" s="164"/>
      <c r="B79" s="165"/>
      <c r="C79" s="165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A38"/>
  <sheetViews>
    <sheetView tabSelected="1" topLeftCell="C13" zoomScale="80" zoomScaleNormal="80" workbookViewId="0">
      <selection activeCell="B14" sqref="B14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</cols>
  <sheetData>
    <row r="1" spans="1:27" x14ac:dyDescent="0.25">
      <c r="A1" s="169" t="s">
        <v>86</v>
      </c>
    </row>
    <row r="2" spans="1:27" ht="15.75" thickBot="1" x14ac:dyDescent="0.3">
      <c r="A2" s="169"/>
    </row>
    <row r="3" spans="1:27" x14ac:dyDescent="0.25">
      <c r="W3" s="180" t="s">
        <v>75</v>
      </c>
      <c r="X3" s="181"/>
      <c r="Y3" s="181"/>
      <c r="Z3" s="181"/>
      <c r="AA3" s="182"/>
    </row>
    <row r="4" spans="1:27" ht="15.75" thickBot="1" x14ac:dyDescent="0.3">
      <c r="W4" s="183"/>
      <c r="X4" s="184"/>
      <c r="Y4" s="184"/>
      <c r="Z4" s="184"/>
      <c r="AA4" s="185"/>
    </row>
    <row r="5" spans="1:27" s="144" customFormat="1" ht="19.5" thickBot="1" x14ac:dyDescent="0.35">
      <c r="A5" s="256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224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223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33194.696199246107</v>
      </c>
      <c r="X7" s="146">
        <f t="shared" si="1"/>
        <v>31371.129496069167</v>
      </c>
      <c r="Y7" s="146">
        <f t="shared" si="1"/>
        <v>29756.571677465465</v>
      </c>
      <c r="Z7" s="146">
        <f t="shared" si="1"/>
        <v>28173.494640273962</v>
      </c>
      <c r="AA7" s="146">
        <f t="shared" si="1"/>
        <v>26699.073103066705</v>
      </c>
    </row>
    <row r="8" spans="1:27" s="148" customFormat="1" ht="30" customHeight="1" x14ac:dyDescent="0.25">
      <c r="A8" s="224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223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224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223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224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223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224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223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224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27" s="148" customFormat="1" ht="60" x14ac:dyDescent="0.25">
      <c r="A17" s="223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27" s="148" customFormat="1" ht="30.75" customHeight="1" thickBot="1" x14ac:dyDescent="0.3">
      <c r="A18" s="224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27" s="143" customFormat="1" ht="43.5" customHeight="1" x14ac:dyDescent="0.25">
      <c r="A19" s="208" t="s">
        <v>77</v>
      </c>
      <c r="B19" s="176">
        <f>SUM(B6:B18)</f>
        <v>517438</v>
      </c>
      <c r="C19" s="177">
        <f t="shared" ref="C19:V19" si="2">SUM(C6:C18)</f>
        <v>552139</v>
      </c>
      <c r="D19" s="177">
        <f t="shared" si="2"/>
        <v>588990</v>
      </c>
      <c r="E19" s="177">
        <f t="shared" si="2"/>
        <v>608384</v>
      </c>
      <c r="F19" s="177">
        <f t="shared" si="2"/>
        <v>614390</v>
      </c>
      <c r="G19" s="178">
        <f t="shared" si="2"/>
        <v>640461</v>
      </c>
      <c r="H19" s="178">
        <f t="shared" si="2"/>
        <v>683340</v>
      </c>
      <c r="I19" s="178">
        <f t="shared" si="2"/>
        <v>709685</v>
      </c>
      <c r="J19" s="178">
        <f t="shared" si="2"/>
        <v>745880</v>
      </c>
      <c r="K19" s="178">
        <f t="shared" si="2"/>
        <v>781017</v>
      </c>
      <c r="L19" s="178">
        <f t="shared" si="2"/>
        <v>804692</v>
      </c>
      <c r="M19" s="178">
        <f t="shared" si="2"/>
        <v>821489</v>
      </c>
      <c r="N19" s="178">
        <f t="shared" si="2"/>
        <v>831956</v>
      </c>
      <c r="O19" s="178">
        <f t="shared" si="2"/>
        <v>853167</v>
      </c>
      <c r="P19" s="178">
        <f t="shared" si="2"/>
        <v>880280</v>
      </c>
      <c r="Q19" s="178">
        <f t="shared" si="2"/>
        <v>817375</v>
      </c>
      <c r="R19" s="178">
        <f t="shared" si="2"/>
        <v>905132</v>
      </c>
      <c r="S19" s="178">
        <f t="shared" si="2"/>
        <v>973165</v>
      </c>
      <c r="T19" s="178">
        <f t="shared" si="2"/>
        <v>982221</v>
      </c>
      <c r="U19" s="178">
        <f t="shared" si="2"/>
        <v>996471</v>
      </c>
      <c r="V19" s="178">
        <f t="shared" si="2"/>
        <v>1023465.1349187322</v>
      </c>
      <c r="W19" s="178">
        <f>SUM(W6:W18)</f>
        <v>1045802.5597860662</v>
      </c>
      <c r="X19" s="178">
        <f t="shared" ref="X19:AA19" si="3">SUM(X6:X18)</f>
        <v>1072462.9902129185</v>
      </c>
      <c r="Y19" s="178">
        <f t="shared" si="3"/>
        <v>1098886.0177344962</v>
      </c>
      <c r="Z19" s="178">
        <f t="shared" si="3"/>
        <v>1127514.6315809824</v>
      </c>
      <c r="AA19" s="178">
        <f t="shared" si="3"/>
        <v>1157192.6819513717</v>
      </c>
    </row>
    <row r="20" spans="1:27" ht="15.75" thickBot="1" x14ac:dyDescent="0.3">
      <c r="A20" s="225" t="s">
        <v>85</v>
      </c>
      <c r="B20" s="158">
        <v>0</v>
      </c>
      <c r="C20" s="160">
        <f>IFERROR((C$19/B$19)-1,"")</f>
        <v>6.7063107077562911E-2</v>
      </c>
      <c r="D20" s="160">
        <f t="shared" ref="D20:V20" si="4">IFERROR((D$19/C$19)-1,"")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59">
        <f t="shared" si="4"/>
        <v>4.2433958886049616E-2</v>
      </c>
      <c r="H20" s="159">
        <f t="shared" si="4"/>
        <v>6.6950212425112454E-2</v>
      </c>
      <c r="I20" s="159">
        <f t="shared" si="4"/>
        <v>3.8553282407000955E-2</v>
      </c>
      <c r="J20" s="189">
        <f t="shared" si="4"/>
        <v>5.1001500665788235E-2</v>
      </c>
      <c r="K20" s="159">
        <f t="shared" si="4"/>
        <v>4.7108113905722115E-2</v>
      </c>
      <c r="L20" s="159">
        <f t="shared" si="4"/>
        <v>3.0313040561217086E-2</v>
      </c>
      <c r="M20" s="159">
        <f t="shared" si="4"/>
        <v>2.0873825016279435E-2</v>
      </c>
      <c r="N20" s="159">
        <f t="shared" si="4"/>
        <v>1.2741497451578709E-2</v>
      </c>
      <c r="O20" s="159">
        <f t="shared" si="4"/>
        <v>2.5495338695796343E-2</v>
      </c>
      <c r="P20" s="159">
        <f t="shared" si="4"/>
        <v>3.1779241344308984E-2</v>
      </c>
      <c r="Q20" s="159">
        <f t="shared" si="4"/>
        <v>-7.146021720361706E-2</v>
      </c>
      <c r="R20" s="159">
        <f t="shared" si="4"/>
        <v>0.10736442881174502</v>
      </c>
      <c r="S20" s="159">
        <f t="shared" si="4"/>
        <v>7.5163622543452213E-2</v>
      </c>
      <c r="T20" s="159">
        <f t="shared" si="4"/>
        <v>9.3057189685201713E-3</v>
      </c>
      <c r="U20" s="159">
        <f t="shared" si="4"/>
        <v>1.4507936604898575E-2</v>
      </c>
      <c r="V20" s="159">
        <f t="shared" si="4"/>
        <v>2.7089734592107728E-2</v>
      </c>
      <c r="W20" s="179">
        <f>AVERAGE(U20:V20)</f>
        <v>2.0798835598503151E-2</v>
      </c>
      <c r="X20" s="179">
        <f t="shared" ref="X20:AA20" si="5">AVERAGE(V20:W20)</f>
        <v>2.394428509530544E-2</v>
      </c>
      <c r="Y20" s="179">
        <f t="shared" si="5"/>
        <v>2.2371560346904296E-2</v>
      </c>
      <c r="Z20" s="179">
        <f t="shared" si="5"/>
        <v>2.3157922721104868E-2</v>
      </c>
      <c r="AA20" s="179">
        <f t="shared" si="5"/>
        <v>2.2764741534004582E-2</v>
      </c>
    </row>
    <row r="22" spans="1:27" ht="15.75" thickBot="1" x14ac:dyDescent="0.3"/>
    <row r="23" spans="1:27" ht="15.75" thickBot="1" x14ac:dyDescent="0.3">
      <c r="A23" s="254" t="s">
        <v>83</v>
      </c>
    </row>
    <row r="24" spans="1:27" ht="15.75" thickBot="1" x14ac:dyDescent="0.3">
      <c r="A24" s="255"/>
      <c r="W24" s="186" t="s">
        <v>76</v>
      </c>
      <c r="X24" s="187"/>
      <c r="Y24" s="187"/>
      <c r="Z24" s="187"/>
      <c r="AA24" s="188"/>
    </row>
    <row r="25" spans="1:27" ht="19.5" thickBot="1" x14ac:dyDescent="0.3">
      <c r="A25" s="226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227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27" x14ac:dyDescent="0.25">
      <c r="A26" s="222" t="s">
        <v>19</v>
      </c>
      <c r="B26" s="228">
        <v>0</v>
      </c>
      <c r="C26" s="228">
        <f>(C6/B6)-1</f>
        <v>2.1314199794244093E-2</v>
      </c>
      <c r="D26" s="228">
        <f>(D6/C6)-1</f>
        <v>3.9310897021979985E-2</v>
      </c>
      <c r="E26" s="229">
        <f t="shared" ref="D26:V37" si="6">(E6/D6)-1</f>
        <v>-8.0518899575040548E-3</v>
      </c>
      <c r="F26" s="229">
        <f t="shared" si="6"/>
        <v>-2.3299511461855049E-3</v>
      </c>
      <c r="G26" s="229">
        <f t="shared" si="6"/>
        <v>3.0385214203203503E-3</v>
      </c>
      <c r="H26" s="229">
        <f t="shared" si="6"/>
        <v>1.9102220664447112E-2</v>
      </c>
      <c r="I26" s="229">
        <f>(I6/H6)-1</f>
        <v>2.5033164644032713E-2</v>
      </c>
      <c r="J26" s="229">
        <f t="shared" si="6"/>
        <v>7.453565008987395E-2</v>
      </c>
      <c r="K26" s="228">
        <f t="shared" si="6"/>
        <v>2.9106724657076199E-2</v>
      </c>
      <c r="L26" s="228">
        <f t="shared" si="6"/>
        <v>4.299956653662762E-2</v>
      </c>
      <c r="M26" s="228">
        <f t="shared" si="6"/>
        <v>2.7366802427063464E-2</v>
      </c>
      <c r="N26" s="228">
        <f t="shared" si="6"/>
        <v>5.5763435205598677E-2</v>
      </c>
      <c r="O26" s="228">
        <f t="shared" si="6"/>
        <v>1.5939308019464304E-2</v>
      </c>
      <c r="P26" s="228">
        <f t="shared" si="6"/>
        <v>2.7173298133132295E-2</v>
      </c>
      <c r="Q26" s="228">
        <f t="shared" si="6"/>
        <v>1.9606763231811319E-2</v>
      </c>
      <c r="R26" s="228">
        <f t="shared" si="6"/>
        <v>4.3735033039845828E-2</v>
      </c>
      <c r="S26" s="231">
        <f t="shared" si="6"/>
        <v>-9.073971846536022E-3</v>
      </c>
      <c r="T26" s="228">
        <f t="shared" si="6"/>
        <v>1.6486194770377161E-2</v>
      </c>
      <c r="U26" s="228">
        <f t="shared" si="6"/>
        <v>6.1278665502063401E-2</v>
      </c>
      <c r="V26" s="228">
        <f t="shared" si="6"/>
        <v>3.100232307625661E-2</v>
      </c>
      <c r="W26" s="228">
        <f>AVERAGE(U26:V26)</f>
        <v>4.6140494289160006E-2</v>
      </c>
      <c r="X26" s="228">
        <f t="shared" ref="X26:AA38" si="7">AVERAGE(V26:W26)</f>
        <v>3.8571408682708308E-2</v>
      </c>
      <c r="Y26" s="228">
        <f t="shared" si="7"/>
        <v>4.2355951485934157E-2</v>
      </c>
      <c r="Z26" s="228">
        <f t="shared" si="7"/>
        <v>4.0463680084321232E-2</v>
      </c>
      <c r="AA26" s="228">
        <f t="shared" si="7"/>
        <v>4.1409815785127695E-2</v>
      </c>
    </row>
    <row r="27" spans="1:27" x14ac:dyDescent="0.25">
      <c r="A27" s="223" t="s">
        <v>21</v>
      </c>
      <c r="B27" s="229">
        <v>0</v>
      </c>
      <c r="C27" s="229">
        <f t="shared" ref="C27:R29" si="8">(C7/B7)-1</f>
        <v>2.2931097338680262E-2</v>
      </c>
      <c r="D27" s="229">
        <f t="shared" si="8"/>
        <v>1.3364695819523043E-2</v>
      </c>
      <c r="E27" s="229">
        <f t="shared" si="8"/>
        <v>9.379615952732645E-2</v>
      </c>
      <c r="F27" s="229">
        <f t="shared" si="8"/>
        <v>0.11440146619079772</v>
      </c>
      <c r="G27" s="229">
        <f t="shared" si="8"/>
        <v>0.10871635073141173</v>
      </c>
      <c r="H27" s="229">
        <f t="shared" si="8"/>
        <v>0.14435162776173005</v>
      </c>
      <c r="I27" s="229">
        <f t="shared" si="8"/>
        <v>5.3690817301132565E-2</v>
      </c>
      <c r="J27" s="229">
        <f t="shared" si="8"/>
        <v>5.3070033452034204E-2</v>
      </c>
      <c r="K27" s="229">
        <f t="shared" si="8"/>
        <v>-1.3485264581710843E-2</v>
      </c>
      <c r="L27" s="229">
        <f t="shared" si="8"/>
        <v>-1.0574206415157161E-2</v>
      </c>
      <c r="M27" s="229">
        <f t="shared" si="8"/>
        <v>-2.8849182186574729E-2</v>
      </c>
      <c r="N27" s="229">
        <f t="shared" si="8"/>
        <v>-5.7531403368430101E-2</v>
      </c>
      <c r="O27" s="229">
        <f t="shared" si="8"/>
        <v>-1.6608552027894907E-2</v>
      </c>
      <c r="P27" s="229">
        <f t="shared" si="8"/>
        <v>1.9245124568442407E-2</v>
      </c>
      <c r="Q27" s="229">
        <f t="shared" si="8"/>
        <v>-0.15190076213581094</v>
      </c>
      <c r="R27" s="229">
        <f t="shared" si="8"/>
        <v>-2.0509499136444065E-3</v>
      </c>
      <c r="S27" s="232">
        <f t="shared" si="6"/>
        <v>1.4548404542996218E-2</v>
      </c>
      <c r="T27" s="229">
        <f t="shared" si="6"/>
        <v>2.5667679513833086E-2</v>
      </c>
      <c r="U27" s="229">
        <f t="shared" si="6"/>
        <v>-3.4120734908136274E-2</v>
      </c>
      <c r="V27" s="229">
        <f t="shared" si="6"/>
        <v>-6.1873733747030757E-2</v>
      </c>
      <c r="W27" s="229">
        <f t="shared" ref="W27:W38" si="9">AVERAGE(U27:V27)</f>
        <v>-4.7997234327583516E-2</v>
      </c>
      <c r="X27" s="229">
        <f t="shared" si="7"/>
        <v>-5.4935484037307136E-2</v>
      </c>
      <c r="Y27" s="229">
        <f t="shared" si="7"/>
        <v>-5.1466359182445326E-2</v>
      </c>
      <c r="Z27" s="229">
        <f t="shared" si="7"/>
        <v>-5.3200921609876231E-2</v>
      </c>
      <c r="AA27" s="229">
        <f t="shared" si="7"/>
        <v>-5.2333640396160779E-2</v>
      </c>
    </row>
    <row r="28" spans="1:27" x14ac:dyDescent="0.25">
      <c r="A28" s="224" t="s">
        <v>23</v>
      </c>
      <c r="B28" s="229">
        <v>0</v>
      </c>
      <c r="C28" s="229">
        <f t="shared" si="8"/>
        <v>7.2917206027028447E-2</v>
      </c>
      <c r="D28" s="229">
        <f t="shared" si="8"/>
        <v>7.7637690776376944E-2</v>
      </c>
      <c r="E28" s="229">
        <f t="shared" si="8"/>
        <v>3.5714285714285587E-3</v>
      </c>
      <c r="F28" s="229">
        <f t="shared" si="8"/>
        <v>-3.6646995169513308E-2</v>
      </c>
      <c r="G28" s="229">
        <f t="shared" si="8"/>
        <v>1.8829469393426779E-2</v>
      </c>
      <c r="H28" s="229">
        <f t="shared" si="8"/>
        <v>5.5876335530802734E-2</v>
      </c>
      <c r="I28" s="229">
        <f t="shared" si="8"/>
        <v>8.2996038580775977E-3</v>
      </c>
      <c r="J28" s="229">
        <f t="shared" si="8"/>
        <v>1.5096031686720135E-2</v>
      </c>
      <c r="K28" s="229">
        <f t="shared" si="8"/>
        <v>2.8901673310124831E-2</v>
      </c>
      <c r="L28" s="229">
        <f t="shared" si="8"/>
        <v>2.0034958959000093E-2</v>
      </c>
      <c r="M28" s="229">
        <f t="shared" si="8"/>
        <v>3.2238022226898533E-2</v>
      </c>
      <c r="N28" s="229">
        <f t="shared" si="8"/>
        <v>-1.8163990447158329E-2</v>
      </c>
      <c r="O28" s="229">
        <f t="shared" si="8"/>
        <v>1.4752558461462062E-2</v>
      </c>
      <c r="P28" s="229">
        <f t="shared" si="8"/>
        <v>1.2014382180128402E-2</v>
      </c>
      <c r="Q28" s="229">
        <f t="shared" si="8"/>
        <v>-9.2489890236857386E-2</v>
      </c>
      <c r="R28" s="229">
        <f t="shared" si="8"/>
        <v>0.13593057058586377</v>
      </c>
      <c r="S28" s="232">
        <f t="shared" si="6"/>
        <v>8.1594530476528426E-2</v>
      </c>
      <c r="T28" s="229">
        <f t="shared" si="6"/>
        <v>-1.6208701058703423E-2</v>
      </c>
      <c r="U28" s="229">
        <f t="shared" si="6"/>
        <v>-2.5648452929559085E-2</v>
      </c>
      <c r="V28" s="229">
        <f t="shared" si="6"/>
        <v>1.85000575147094E-2</v>
      </c>
      <c r="W28" s="229">
        <f t="shared" si="9"/>
        <v>-3.5741977074248421E-3</v>
      </c>
      <c r="X28" s="229">
        <f t="shared" si="7"/>
        <v>7.4629299036422792E-3</v>
      </c>
      <c r="Y28" s="229">
        <f t="shared" si="7"/>
        <v>1.9443660981087185E-3</v>
      </c>
      <c r="Z28" s="229">
        <f t="shared" si="7"/>
        <v>4.7036480008754988E-3</v>
      </c>
      <c r="AA28" s="229">
        <f t="shared" si="7"/>
        <v>3.3240070494921087E-3</v>
      </c>
    </row>
    <row r="29" spans="1:27" ht="45" x14ac:dyDescent="0.25">
      <c r="A29" s="223" t="s">
        <v>25</v>
      </c>
      <c r="B29" s="229">
        <v>0</v>
      </c>
      <c r="C29" s="229">
        <f t="shared" si="8"/>
        <v>5.3197752207653215E-2</v>
      </c>
      <c r="D29" s="229">
        <f t="shared" si="8"/>
        <v>4.2278571065602844E-2</v>
      </c>
      <c r="E29" s="229">
        <f t="shared" si="8"/>
        <v>5.2654673102237037E-3</v>
      </c>
      <c r="F29" s="229">
        <f t="shared" si="8"/>
        <v>2.3958484892574905E-2</v>
      </c>
      <c r="G29" s="229">
        <f t="shared" si="8"/>
        <v>3.8933358594231082E-2</v>
      </c>
      <c r="H29" s="229">
        <f t="shared" si="8"/>
        <v>3.0681559152039961E-2</v>
      </c>
      <c r="I29" s="229">
        <f t="shared" si="8"/>
        <v>2.1496815286624171E-2</v>
      </c>
      <c r="J29" s="229">
        <f t="shared" si="8"/>
        <v>3.7065904563956087E-2</v>
      </c>
      <c r="K29" s="229">
        <f t="shared" si="8"/>
        <v>3.4363256784968543E-2</v>
      </c>
      <c r="L29" s="229">
        <f t="shared" si="8"/>
        <v>-7.0237758850362209E-3</v>
      </c>
      <c r="M29" s="229">
        <f t="shared" si="8"/>
        <v>-8.1304118053293628E-5</v>
      </c>
      <c r="N29" s="229">
        <f t="shared" si="8"/>
        <v>2.8865308777493048E-2</v>
      </c>
      <c r="O29" s="229">
        <f t="shared" si="8"/>
        <v>2.5487019401746913E-2</v>
      </c>
      <c r="P29" s="229">
        <f t="shared" si="8"/>
        <v>2.5200369913686904E-2</v>
      </c>
      <c r="Q29" s="229">
        <f t="shared" si="8"/>
        <v>-3.8299631662031208E-2</v>
      </c>
      <c r="R29" s="229">
        <f t="shared" si="8"/>
        <v>5.8310860984093438E-2</v>
      </c>
      <c r="S29" s="232">
        <f t="shared" si="6"/>
        <v>4.6087373979836865E-2</v>
      </c>
      <c r="T29" s="229">
        <f t="shared" si="6"/>
        <v>3.1559995763758897E-2</v>
      </c>
      <c r="U29" s="229">
        <f t="shared" si="6"/>
        <v>2.48793675781116E-2</v>
      </c>
      <c r="V29" s="229">
        <f t="shared" si="6"/>
        <v>1.140651910951207E-2</v>
      </c>
      <c r="W29" s="229">
        <f t="shared" si="9"/>
        <v>1.8142943343811835E-2</v>
      </c>
      <c r="X29" s="229">
        <f t="shared" si="7"/>
        <v>1.4774731226661952E-2</v>
      </c>
      <c r="Y29" s="229">
        <f t="shared" si="7"/>
        <v>1.6458837285236894E-2</v>
      </c>
      <c r="Z29" s="229">
        <f t="shared" si="7"/>
        <v>1.5616784255949423E-2</v>
      </c>
      <c r="AA29" s="229">
        <f t="shared" si="7"/>
        <v>1.6037810770593158E-2</v>
      </c>
    </row>
    <row r="30" spans="1:27" x14ac:dyDescent="0.25">
      <c r="A30" s="224" t="s">
        <v>27</v>
      </c>
      <c r="B30" s="229">
        <v>0</v>
      </c>
      <c r="C30" s="229">
        <f t="shared" ref="C30:R38" si="10">(C10/B10)-1</f>
        <v>0.12141035963499736</v>
      </c>
      <c r="D30" s="229">
        <f t="shared" si="10"/>
        <v>6.9404972028599632E-2</v>
      </c>
      <c r="E30" s="229">
        <f t="shared" si="10"/>
        <v>9.9085237922063474E-2</v>
      </c>
      <c r="F30" s="229">
        <f t="shared" si="10"/>
        <v>2.6139631958054466E-2</v>
      </c>
      <c r="G30" s="229">
        <f t="shared" si="10"/>
        <v>-6.6474848695304845E-3</v>
      </c>
      <c r="H30" s="229">
        <f t="shared" si="10"/>
        <v>6.2125449460647131E-2</v>
      </c>
      <c r="I30" s="229">
        <f t="shared" si="10"/>
        <v>5.9126387060372432E-2</v>
      </c>
      <c r="J30" s="229">
        <f t="shared" si="10"/>
        <v>0.11276109298350767</v>
      </c>
      <c r="K30" s="229">
        <f t="shared" si="10"/>
        <v>8.918633181065605E-2</v>
      </c>
      <c r="L30" s="229">
        <f t="shared" si="10"/>
        <v>6.3001355261712133E-2</v>
      </c>
      <c r="M30" s="229">
        <f t="shared" si="10"/>
        <v>3.588780538230929E-2</v>
      </c>
      <c r="N30" s="229">
        <f t="shared" si="10"/>
        <v>-2.0257796257796112E-2</v>
      </c>
      <c r="O30" s="229">
        <f t="shared" si="10"/>
        <v>-1.2748909297706557E-2</v>
      </c>
      <c r="P30" s="229">
        <f t="shared" si="10"/>
        <v>-3.8912579957356086E-2</v>
      </c>
      <c r="Q30" s="229">
        <f t="shared" si="10"/>
        <v>-0.29581521836365909</v>
      </c>
      <c r="R30" s="229">
        <f t="shared" si="10"/>
        <v>4.2684011280774481E-2</v>
      </c>
      <c r="S30" s="232">
        <f t="shared" si="6"/>
        <v>6.6424620482955277E-2</v>
      </c>
      <c r="T30" s="229">
        <f t="shared" si="6"/>
        <v>-3.0915114817776757E-2</v>
      </c>
      <c r="U30" s="229">
        <f t="shared" si="6"/>
        <v>8.4881637272471444E-4</v>
      </c>
      <c r="V30" s="229">
        <f t="shared" si="6"/>
        <v>-2.7679677050644891E-2</v>
      </c>
      <c r="W30" s="229">
        <f t="shared" si="9"/>
        <v>-1.3415430338960088E-2</v>
      </c>
      <c r="X30" s="229">
        <f t="shared" si="7"/>
        <v>-2.0547553694802489E-2</v>
      </c>
      <c r="Y30" s="229">
        <f t="shared" si="7"/>
        <v>-1.6981492016881289E-2</v>
      </c>
      <c r="Z30" s="229">
        <f t="shared" si="7"/>
        <v>-1.8764522855841889E-2</v>
      </c>
      <c r="AA30" s="229">
        <f t="shared" si="7"/>
        <v>-1.7873007436361589E-2</v>
      </c>
    </row>
    <row r="31" spans="1:27" ht="45" x14ac:dyDescent="0.25">
      <c r="A31" s="223" t="s">
        <v>29</v>
      </c>
      <c r="B31" s="229">
        <v>0</v>
      </c>
      <c r="C31" s="229">
        <f t="shared" si="10"/>
        <v>7.6076650239385701E-2</v>
      </c>
      <c r="D31" s="229">
        <f t="shared" si="10"/>
        <v>8.0684463590279032E-2</v>
      </c>
      <c r="E31" s="229">
        <f t="shared" si="10"/>
        <v>3.022860191457899E-2</v>
      </c>
      <c r="F31" s="229">
        <f t="shared" si="10"/>
        <v>-1.5730951869149523E-3</v>
      </c>
      <c r="G31" s="229">
        <f t="shared" si="10"/>
        <v>5.3452072221950475E-2</v>
      </c>
      <c r="H31" s="229">
        <f t="shared" si="10"/>
        <v>6.8891840924503178E-2</v>
      </c>
      <c r="I31" s="229">
        <f t="shared" si="10"/>
        <v>3.8153011828302885E-2</v>
      </c>
      <c r="J31" s="229">
        <f t="shared" si="10"/>
        <v>4.7684026353461029E-2</v>
      </c>
      <c r="K31" s="229">
        <f t="shared" si="10"/>
        <v>4.7255671239882169E-2</v>
      </c>
      <c r="L31" s="229">
        <f t="shared" si="10"/>
        <v>3.3312223892326687E-2</v>
      </c>
      <c r="M31" s="229">
        <f t="shared" si="10"/>
        <v>2.6855400246623695E-2</v>
      </c>
      <c r="N31" s="229">
        <f t="shared" si="10"/>
        <v>1.8595487034932967E-2</v>
      </c>
      <c r="O31" s="229">
        <f t="shared" si="10"/>
        <v>2.6727472961906695E-2</v>
      </c>
      <c r="P31" s="229">
        <f t="shared" si="10"/>
        <v>3.7486764119418536E-2</v>
      </c>
      <c r="Q31" s="229">
        <f t="shared" si="10"/>
        <v>-0.13688779905891713</v>
      </c>
      <c r="R31" s="229">
        <f t="shared" si="10"/>
        <v>0.20409260183514388</v>
      </c>
      <c r="S31" s="232">
        <f t="shared" si="6"/>
        <v>0.11884067212957961</v>
      </c>
      <c r="T31" s="229">
        <f t="shared" si="6"/>
        <v>-3.6386227493715895E-2</v>
      </c>
      <c r="U31" s="229">
        <f t="shared" si="6"/>
        <v>1.2326474119727315E-2</v>
      </c>
      <c r="V31" s="229">
        <f t="shared" si="6"/>
        <v>4.5987328955726214E-2</v>
      </c>
      <c r="W31" s="229">
        <f t="shared" si="9"/>
        <v>2.9156901537726765E-2</v>
      </c>
      <c r="X31" s="229">
        <f t="shared" si="7"/>
        <v>3.757211524672649E-2</v>
      </c>
      <c r="Y31" s="229">
        <f t="shared" si="7"/>
        <v>3.3364508392226627E-2</v>
      </c>
      <c r="Z31" s="229">
        <f t="shared" si="7"/>
        <v>3.5468311819476558E-2</v>
      </c>
      <c r="AA31" s="229">
        <f t="shared" si="7"/>
        <v>3.4416410105851593E-2</v>
      </c>
    </row>
    <row r="32" spans="1:27" x14ac:dyDescent="0.25">
      <c r="A32" s="224" t="s">
        <v>31</v>
      </c>
      <c r="B32" s="229">
        <v>0</v>
      </c>
      <c r="C32" s="229">
        <f t="shared" si="10"/>
        <v>0.14917517674783976</v>
      </c>
      <c r="D32" s="229">
        <f t="shared" si="10"/>
        <v>0.14573791783443846</v>
      </c>
      <c r="E32" s="229">
        <f t="shared" si="10"/>
        <v>2.1418769763140721E-2</v>
      </c>
      <c r="F32" s="229">
        <f t="shared" si="10"/>
        <v>-8.4754672897196293E-2</v>
      </c>
      <c r="G32" s="229">
        <f t="shared" si="10"/>
        <v>0.16510306975556821</v>
      </c>
      <c r="H32" s="229">
        <f t="shared" si="10"/>
        <v>0.10391104294478537</v>
      </c>
      <c r="I32" s="229">
        <f t="shared" si="10"/>
        <v>1.3000545824443099E-2</v>
      </c>
      <c r="J32" s="229">
        <f t="shared" si="10"/>
        <v>8.8317413666421762E-2</v>
      </c>
      <c r="K32" s="229">
        <f t="shared" si="10"/>
        <v>6.4632280133225528E-2</v>
      </c>
      <c r="L32" s="229">
        <f t="shared" si="10"/>
        <v>1.2978777373805706E-2</v>
      </c>
      <c r="M32" s="229">
        <f t="shared" si="10"/>
        <v>-6.5523141772049209E-3</v>
      </c>
      <c r="N32" s="229">
        <f t="shared" si="10"/>
        <v>-1.932448328011982E-3</v>
      </c>
      <c r="O32" s="229">
        <f t="shared" si="10"/>
        <v>3.5230238235541611E-2</v>
      </c>
      <c r="P32" s="229">
        <f t="shared" si="10"/>
        <v>9.1888595242934912E-3</v>
      </c>
      <c r="Q32" s="229">
        <f t="shared" si="10"/>
        <v>-2.7718464203698501E-2</v>
      </c>
      <c r="R32" s="229">
        <f t="shared" si="10"/>
        <v>0.12750176107404809</v>
      </c>
      <c r="S32" s="232">
        <f t="shared" si="6"/>
        <v>0.12326350606394709</v>
      </c>
      <c r="T32" s="229">
        <f t="shared" si="6"/>
        <v>1.5377568381101936E-2</v>
      </c>
      <c r="U32" s="229">
        <f t="shared" si="6"/>
        <v>-2.0944770251980493E-3</v>
      </c>
      <c r="V32" s="229">
        <f t="shared" si="6"/>
        <v>9.6882389009473879E-3</v>
      </c>
      <c r="W32" s="229">
        <f t="shared" si="9"/>
        <v>3.7968809378746693E-3</v>
      </c>
      <c r="X32" s="229">
        <f t="shared" si="7"/>
        <v>6.7425599194110286E-3</v>
      </c>
      <c r="Y32" s="229">
        <f t="shared" si="7"/>
        <v>5.269720428642849E-3</v>
      </c>
      <c r="Z32" s="229">
        <f t="shared" si="7"/>
        <v>6.0061401740269388E-3</v>
      </c>
      <c r="AA32" s="229">
        <f t="shared" si="7"/>
        <v>5.6379303013348939E-3</v>
      </c>
    </row>
    <row r="33" spans="1:27" x14ac:dyDescent="0.25">
      <c r="A33" s="223" t="s">
        <v>33</v>
      </c>
      <c r="B33" s="229">
        <v>0</v>
      </c>
      <c r="C33" s="229">
        <f t="shared" si="10"/>
        <v>6.5871369294605797E-2</v>
      </c>
      <c r="D33" s="229">
        <f t="shared" si="10"/>
        <v>0.13759124087591235</v>
      </c>
      <c r="E33" s="229">
        <f t="shared" si="10"/>
        <v>0.1013795316008983</v>
      </c>
      <c r="F33" s="229">
        <f t="shared" si="10"/>
        <v>3.4809204777162872E-2</v>
      </c>
      <c r="G33" s="229">
        <f t="shared" si="10"/>
        <v>4.6774571897724826E-2</v>
      </c>
      <c r="H33" s="229">
        <f t="shared" si="10"/>
        <v>0.10944783076371434</v>
      </c>
      <c r="I33" s="229">
        <f t="shared" si="10"/>
        <v>7.562414155288022E-2</v>
      </c>
      <c r="J33" s="229">
        <f t="shared" si="10"/>
        <v>9.5170134455044186E-2</v>
      </c>
      <c r="K33" s="229">
        <f t="shared" si="10"/>
        <v>0.10216049382716053</v>
      </c>
      <c r="L33" s="229">
        <f t="shared" si="10"/>
        <v>7.9560658390117611E-2</v>
      </c>
      <c r="M33" s="229">
        <f t="shared" si="10"/>
        <v>2.9686419183767798E-2</v>
      </c>
      <c r="N33" s="229">
        <f t="shared" si="10"/>
        <v>5.3882326596876196E-2</v>
      </c>
      <c r="O33" s="229">
        <f t="shared" si="10"/>
        <v>3.7342965658282656E-2</v>
      </c>
      <c r="P33" s="229">
        <f t="shared" si="10"/>
        <v>6.2677625009601501E-2</v>
      </c>
      <c r="Q33" s="229">
        <f t="shared" si="10"/>
        <v>2.2358751957595402E-2</v>
      </c>
      <c r="R33" s="229">
        <f t="shared" si="10"/>
        <v>3.699950510216099E-2</v>
      </c>
      <c r="S33" s="232">
        <f t="shared" si="6"/>
        <v>6.6745449173920113E-2</v>
      </c>
      <c r="T33" s="229">
        <f t="shared" si="6"/>
        <v>8.9369407754580132E-2</v>
      </c>
      <c r="U33" s="229">
        <f t="shared" si="6"/>
        <v>1.0736286300968345E-2</v>
      </c>
      <c r="V33" s="229">
        <f t="shared" si="6"/>
        <v>2.7636052292486113E-2</v>
      </c>
      <c r="W33" s="229">
        <f t="shared" si="9"/>
        <v>1.9186169296727229E-2</v>
      </c>
      <c r="X33" s="229">
        <f t="shared" si="7"/>
        <v>2.3411110794606671E-2</v>
      </c>
      <c r="Y33" s="229">
        <f t="shared" si="7"/>
        <v>2.129864004566695E-2</v>
      </c>
      <c r="Z33" s="229">
        <f t="shared" si="7"/>
        <v>2.2354875420136811E-2</v>
      </c>
      <c r="AA33" s="229">
        <f t="shared" si="7"/>
        <v>2.182675773290188E-2</v>
      </c>
    </row>
    <row r="34" spans="1:27" x14ac:dyDescent="0.25">
      <c r="A34" s="224" t="s">
        <v>35</v>
      </c>
      <c r="B34" s="229">
        <v>0</v>
      </c>
      <c r="C34" s="229">
        <f t="shared" si="10"/>
        <v>4.0451496028507172E-2</v>
      </c>
      <c r="D34" s="229">
        <f t="shared" si="10"/>
        <v>3.7501195828948619E-2</v>
      </c>
      <c r="E34" s="229">
        <f t="shared" si="10"/>
        <v>2.7773167358229545E-2</v>
      </c>
      <c r="F34" s="229">
        <f t="shared" si="10"/>
        <v>3.8309020114478454E-2</v>
      </c>
      <c r="G34" s="229">
        <f t="shared" si="10"/>
        <v>3.5703176303874429E-2</v>
      </c>
      <c r="H34" s="229">
        <f t="shared" si="10"/>
        <v>2.8298738570379678E-2</v>
      </c>
      <c r="I34" s="229">
        <f t="shared" si="10"/>
        <v>3.165768806386704E-2</v>
      </c>
      <c r="J34" s="229">
        <f t="shared" si="10"/>
        <v>3.2180436936724455E-2</v>
      </c>
      <c r="K34" s="229">
        <f t="shared" si="10"/>
        <v>3.1070476190476093E-2</v>
      </c>
      <c r="L34" s="229">
        <f t="shared" si="10"/>
        <v>3.1937219200756539E-2</v>
      </c>
      <c r="M34" s="229">
        <f t="shared" si="10"/>
        <v>3.5288220551378702E-2</v>
      </c>
      <c r="N34" s="229">
        <f t="shared" si="10"/>
        <v>3.0516399452198861E-2</v>
      </c>
      <c r="O34" s="229">
        <f t="shared" si="10"/>
        <v>3.965366803141146E-2</v>
      </c>
      <c r="P34" s="229">
        <f t="shared" si="10"/>
        <v>3.2472982220558055E-2</v>
      </c>
      <c r="Q34" s="229">
        <f t="shared" si="10"/>
        <v>1.4431494172377546E-2</v>
      </c>
      <c r="R34" s="229">
        <f t="shared" si="10"/>
        <v>2.49636332256713E-2</v>
      </c>
      <c r="S34" s="232">
        <f t="shared" si="6"/>
        <v>2.0446700263401674E-2</v>
      </c>
      <c r="T34" s="229">
        <f t="shared" si="6"/>
        <v>1.8504767629621721E-2</v>
      </c>
      <c r="U34" s="229">
        <f t="shared" si="6"/>
        <v>2.2091583442306106E-2</v>
      </c>
      <c r="V34" s="229">
        <f t="shared" si="6"/>
        <v>1.9834298843357745E-2</v>
      </c>
      <c r="W34" s="229">
        <f t="shared" si="9"/>
        <v>2.0962941142831926E-2</v>
      </c>
      <c r="X34" s="229">
        <f t="shared" si="7"/>
        <v>2.0398619993094835E-2</v>
      </c>
      <c r="Y34" s="229">
        <f t="shared" si="7"/>
        <v>2.068078056796338E-2</v>
      </c>
      <c r="Z34" s="229">
        <f t="shared" si="7"/>
        <v>2.0539700280529108E-2</v>
      </c>
      <c r="AA34" s="229">
        <f t="shared" si="7"/>
        <v>2.0610240424246244E-2</v>
      </c>
    </row>
    <row r="35" spans="1:27" ht="30" x14ac:dyDescent="0.25">
      <c r="A35" s="223" t="s">
        <v>37</v>
      </c>
      <c r="B35" s="229">
        <v>0</v>
      </c>
      <c r="C35" s="229">
        <f t="shared" si="10"/>
        <v>7.0305349862717303E-2</v>
      </c>
      <c r="D35" s="229">
        <f t="shared" si="10"/>
        <v>6.8770729684908716E-2</v>
      </c>
      <c r="E35" s="229">
        <f t="shared" si="10"/>
        <v>3.7676380739950277E-2</v>
      </c>
      <c r="F35" s="229">
        <f t="shared" si="10"/>
        <v>2.7990654205607646E-2</v>
      </c>
      <c r="G35" s="229">
        <f t="shared" si="10"/>
        <v>3.0819582708304871E-2</v>
      </c>
      <c r="H35" s="229">
        <f t="shared" si="10"/>
        <v>7.0864752833267097E-2</v>
      </c>
      <c r="I35" s="229">
        <f t="shared" si="10"/>
        <v>4.815928183165874E-2</v>
      </c>
      <c r="J35" s="229">
        <f t="shared" si="10"/>
        <v>5.2762881332626188E-2</v>
      </c>
      <c r="K35" s="229">
        <f t="shared" si="10"/>
        <v>7.2901311738473362E-2</v>
      </c>
      <c r="L35" s="229">
        <f t="shared" si="10"/>
        <v>-1.8782608695652181E-3</v>
      </c>
      <c r="M35" s="229">
        <f t="shared" si="10"/>
        <v>-2.4341371619738039E-2</v>
      </c>
      <c r="N35" s="229">
        <f t="shared" si="10"/>
        <v>1.4554870970622469E-2</v>
      </c>
      <c r="O35" s="229">
        <f t="shared" si="10"/>
        <v>3.971131842985387E-2</v>
      </c>
      <c r="P35" s="229">
        <f t="shared" si="10"/>
        <v>3.446991501032759E-2</v>
      </c>
      <c r="Q35" s="229">
        <f t="shared" si="10"/>
        <v>-5.7903178292036284E-2</v>
      </c>
      <c r="R35" s="229">
        <f t="shared" si="10"/>
        <v>9.7335140018066868E-2</v>
      </c>
      <c r="S35" s="232">
        <f t="shared" si="6"/>
        <v>7.8601168331565718E-2</v>
      </c>
      <c r="T35" s="229">
        <f t="shared" si="6"/>
        <v>1.9153995185815731E-2</v>
      </c>
      <c r="U35" s="229">
        <f t="shared" si="6"/>
        <v>-4.1908492590405633E-3</v>
      </c>
      <c r="V35" s="229">
        <f t="shared" si="6"/>
        <v>1.3415756028416492E-2</v>
      </c>
      <c r="W35" s="229">
        <f t="shared" si="9"/>
        <v>4.6124533846879645E-3</v>
      </c>
      <c r="X35" s="229">
        <f t="shared" si="7"/>
        <v>9.0141047065522284E-3</v>
      </c>
      <c r="Y35" s="229">
        <f t="shared" si="7"/>
        <v>6.8132790456200965E-3</v>
      </c>
      <c r="Z35" s="229">
        <f t="shared" si="7"/>
        <v>7.9136918760861624E-3</v>
      </c>
      <c r="AA35" s="229">
        <f t="shared" si="7"/>
        <v>7.3634854608531294E-3</v>
      </c>
    </row>
    <row r="36" spans="1:27" ht="45" x14ac:dyDescent="0.25">
      <c r="A36" s="224" t="s">
        <v>39</v>
      </c>
      <c r="B36" s="229">
        <v>0</v>
      </c>
      <c r="C36" s="229">
        <f t="shared" si="10"/>
        <v>4.6177404399988742E-2</v>
      </c>
      <c r="D36" s="229">
        <f t="shared" si="10"/>
        <v>4.0889497643314732E-2</v>
      </c>
      <c r="E36" s="229">
        <f t="shared" si="10"/>
        <v>2.1325179967489838E-2</v>
      </c>
      <c r="F36" s="229">
        <f t="shared" si="10"/>
        <v>3.0492503189460285E-2</v>
      </c>
      <c r="G36" s="229">
        <f t="shared" si="10"/>
        <v>4.634657579583501E-2</v>
      </c>
      <c r="H36" s="229">
        <f t="shared" si="10"/>
        <v>5.7437735760642816E-2</v>
      </c>
      <c r="I36" s="229">
        <f t="shared" si="10"/>
        <v>5.5591868387525611E-2</v>
      </c>
      <c r="J36" s="229">
        <f t="shared" si="10"/>
        <v>5.507803070852102E-2</v>
      </c>
      <c r="K36" s="229">
        <f t="shared" si="10"/>
        <v>5.8459579632153202E-2</v>
      </c>
      <c r="L36" s="229">
        <f t="shared" si="10"/>
        <v>5.3276069468461085E-2</v>
      </c>
      <c r="M36" s="229">
        <f t="shared" si="10"/>
        <v>3.6769363919448184E-2</v>
      </c>
      <c r="N36" s="229">
        <f t="shared" si="10"/>
        <v>3.4630544415566566E-2</v>
      </c>
      <c r="O36" s="229">
        <f t="shared" si="10"/>
        <v>4.7362379597744253E-2</v>
      </c>
      <c r="P36" s="229">
        <f t="shared" si="10"/>
        <v>5.0962546459544456E-2</v>
      </c>
      <c r="Q36" s="229">
        <f t="shared" si="10"/>
        <v>3.0906878858636411E-3</v>
      </c>
      <c r="R36" s="229">
        <f t="shared" si="10"/>
        <v>8.4615268716758951E-2</v>
      </c>
      <c r="S36" s="232">
        <f t="shared" si="6"/>
        <v>1.1217303124174904E-2</v>
      </c>
      <c r="T36" s="229">
        <f t="shared" si="6"/>
        <v>4.9337518631215271E-2</v>
      </c>
      <c r="U36" s="229">
        <f t="shared" si="6"/>
        <v>4.063571858717574E-2</v>
      </c>
      <c r="V36" s="229">
        <f t="shared" si="6"/>
        <v>4.4888637919443974E-2</v>
      </c>
      <c r="W36" s="229">
        <f t="shared" si="9"/>
        <v>4.2762178253309857E-2</v>
      </c>
      <c r="X36" s="229">
        <f t="shared" si="7"/>
        <v>4.3825408086376916E-2</v>
      </c>
      <c r="Y36" s="229">
        <f t="shared" si="7"/>
        <v>4.3293793169843386E-2</v>
      </c>
      <c r="Z36" s="229">
        <f t="shared" si="7"/>
        <v>4.3559600628110151E-2</v>
      </c>
      <c r="AA36" s="229">
        <f t="shared" si="7"/>
        <v>4.3426696898976769E-2</v>
      </c>
    </row>
    <row r="37" spans="1:27" ht="60" x14ac:dyDescent="0.25">
      <c r="A37" s="223" t="s">
        <v>41</v>
      </c>
      <c r="B37" s="229">
        <v>0</v>
      </c>
      <c r="C37" s="229">
        <f t="shared" si="10"/>
        <v>5.0720100187852335E-2</v>
      </c>
      <c r="D37" s="229">
        <f t="shared" si="10"/>
        <v>5.2964839094159721E-2</v>
      </c>
      <c r="E37" s="229">
        <f t="shared" si="10"/>
        <v>2.9925716307039218E-2</v>
      </c>
      <c r="F37" s="229">
        <f t="shared" si="10"/>
        <v>2.3286165682099291E-2</v>
      </c>
      <c r="G37" s="229">
        <f t="shared" si="10"/>
        <v>2.4300194670067832E-2</v>
      </c>
      <c r="H37" s="229">
        <f t="shared" si="10"/>
        <v>6.0882102365816815E-2</v>
      </c>
      <c r="I37" s="229">
        <f t="shared" si="10"/>
        <v>3.0207561156412099E-2</v>
      </c>
      <c r="J37" s="229">
        <f t="shared" si="10"/>
        <v>6.2421298794747226E-2</v>
      </c>
      <c r="K37" s="229">
        <f t="shared" si="10"/>
        <v>2.7768371147985027E-2</v>
      </c>
      <c r="L37" s="229">
        <f t="shared" si="10"/>
        <v>4.2394288852279027E-2</v>
      </c>
      <c r="M37" s="229">
        <f t="shared" si="10"/>
        <v>5.5420925086924422E-2</v>
      </c>
      <c r="N37" s="229">
        <f t="shared" si="10"/>
        <v>2.106419087551159E-2</v>
      </c>
      <c r="O37" s="229">
        <f t="shared" si="10"/>
        <v>2.2927258506061809E-2</v>
      </c>
      <c r="P37" s="229">
        <f t="shared" si="10"/>
        <v>0.13037037037037047</v>
      </c>
      <c r="Q37" s="229">
        <f t="shared" si="10"/>
        <v>-0.11787088318606531</v>
      </c>
      <c r="R37" s="229">
        <f t="shared" si="10"/>
        <v>0.34426072369997618</v>
      </c>
      <c r="S37" s="232">
        <f t="shared" si="6"/>
        <v>0.28108956075299485</v>
      </c>
      <c r="T37" s="229">
        <f t="shared" si="6"/>
        <v>0.10377936101525109</v>
      </c>
      <c r="U37" s="229">
        <f t="shared" si="6"/>
        <v>8.1919265777464112E-2</v>
      </c>
      <c r="V37" s="229">
        <f t="shared" si="6"/>
        <v>9.8935850823077542E-2</v>
      </c>
      <c r="W37" s="229">
        <f t="shared" si="9"/>
        <v>9.0427558300270827E-2</v>
      </c>
      <c r="X37" s="229">
        <f t="shared" si="7"/>
        <v>9.4681704561674185E-2</v>
      </c>
      <c r="Y37" s="229">
        <f t="shared" si="7"/>
        <v>9.2554631430972506E-2</v>
      </c>
      <c r="Z37" s="229">
        <f t="shared" si="7"/>
        <v>9.3618167996323345E-2</v>
      </c>
      <c r="AA37" s="229">
        <f t="shared" si="7"/>
        <v>9.3086399713647933E-2</v>
      </c>
    </row>
    <row r="38" spans="1:27" ht="15.75" thickBot="1" x14ac:dyDescent="0.3">
      <c r="A38" s="225" t="s">
        <v>45</v>
      </c>
      <c r="B38" s="230">
        <v>0</v>
      </c>
      <c r="C38" s="230">
        <f t="shared" si="10"/>
        <v>0.11997648442092879</v>
      </c>
      <c r="D38" s="230">
        <f t="shared" si="10"/>
        <v>0.10888781573477235</v>
      </c>
      <c r="E38" s="230">
        <f t="shared" si="10"/>
        <v>5.0896559559199694E-2</v>
      </c>
      <c r="F38" s="230">
        <f t="shared" si="10"/>
        <v>-1.5963676330156162E-2</v>
      </c>
      <c r="G38" s="230">
        <f t="shared" si="10"/>
        <v>6.208916964203981E-2</v>
      </c>
      <c r="H38" s="230">
        <f t="shared" si="10"/>
        <v>0.1033513774437127</v>
      </c>
      <c r="I38" s="230">
        <f>(I18/H18)-1</f>
        <v>4.4874298839080451E-2</v>
      </c>
      <c r="J38" s="230">
        <f t="shared" ref="J38:V38" si="11">(J18/I18)-1</f>
        <v>3.3227161933815141E-2</v>
      </c>
      <c r="K38" s="230">
        <f t="shared" si="11"/>
        <v>5.5054634922932166E-2</v>
      </c>
      <c r="L38" s="230">
        <f t="shared" si="11"/>
        <v>1.7147011618815045E-2</v>
      </c>
      <c r="M38" s="230">
        <f t="shared" si="11"/>
        <v>1.0870004989952609E-2</v>
      </c>
      <c r="N38" s="230">
        <f t="shared" si="11"/>
        <v>1.0913214595423826E-2</v>
      </c>
      <c r="O38" s="230">
        <f t="shared" si="11"/>
        <v>3.0551779657661982E-2</v>
      </c>
      <c r="P38" s="230">
        <f t="shared" si="11"/>
        <v>4.3553426902981141E-2</v>
      </c>
      <c r="Q38" s="230">
        <f t="shared" si="11"/>
        <v>-6.1345703101032045E-2</v>
      </c>
      <c r="R38" s="230">
        <f t="shared" si="11"/>
        <v>0.15884429337168249</v>
      </c>
      <c r="S38" s="233">
        <f t="shared" si="11"/>
        <v>0.16042418772563183</v>
      </c>
      <c r="T38" s="230">
        <f t="shared" si="11"/>
        <v>-2.5140968306435973E-2</v>
      </c>
      <c r="U38" s="230">
        <f t="shared" si="11"/>
        <v>4.9963101102978857E-3</v>
      </c>
      <c r="V38" s="230">
        <f t="shared" si="11"/>
        <v>2.4730156825394145E-2</v>
      </c>
      <c r="W38" s="230">
        <f t="shared" si="9"/>
        <v>1.4863233467846015E-2</v>
      </c>
      <c r="X38" s="230">
        <f t="shared" si="7"/>
        <v>1.979669514662008E-2</v>
      </c>
      <c r="Y38" s="230">
        <f t="shared" si="7"/>
        <v>1.7329964307233048E-2</v>
      </c>
      <c r="Z38" s="230">
        <f t="shared" si="7"/>
        <v>1.8563329726926564E-2</v>
      </c>
      <c r="AA38" s="230">
        <f t="shared" si="7"/>
        <v>1.7946647017079806E-2</v>
      </c>
    </row>
  </sheetData>
  <mergeCells count="4">
    <mergeCell ref="A1:A2"/>
    <mergeCell ref="W3:AA4"/>
    <mergeCell ref="W24:AA24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zoomScale="90" zoomScaleNormal="85" workbookViewId="0">
      <selection activeCell="H14" sqref="H14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01" t="s">
        <v>78</v>
      </c>
    </row>
    <row r="2" spans="1:28" ht="39.950000000000003" customHeight="1" thickBot="1" x14ac:dyDescent="0.3">
      <c r="A2" s="201"/>
    </row>
    <row r="3" spans="1:28" ht="39.950000000000003" customHeight="1" x14ac:dyDescent="0.25">
      <c r="A3" s="142"/>
      <c r="W3" s="180" t="s">
        <v>81</v>
      </c>
      <c r="X3" s="181"/>
      <c r="Y3" s="181"/>
      <c r="Z3" s="181"/>
      <c r="AA3" s="182"/>
    </row>
    <row r="4" spans="1:28" ht="39.950000000000003" customHeight="1" thickBot="1" x14ac:dyDescent="0.3">
      <c r="A4" s="142"/>
      <c r="W4" s="183"/>
      <c r="X4" s="184"/>
      <c r="Y4" s="184"/>
      <c r="Z4" s="184"/>
      <c r="AA4" s="185"/>
    </row>
    <row r="5" spans="1:28" s="199" customFormat="1" ht="39.950000000000003" customHeight="1" thickBot="1" x14ac:dyDescent="0.35">
      <c r="A5" s="200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205" t="s">
        <v>79</v>
      </c>
      <c r="B6" s="207">
        <v>348741</v>
      </c>
      <c r="C6" s="204">
        <v>370953</v>
      </c>
      <c r="D6" s="193">
        <v>395261.00000000006</v>
      </c>
      <c r="E6" s="192">
        <v>411526.00000000006</v>
      </c>
      <c r="F6" s="192">
        <v>418556.00000000006</v>
      </c>
      <c r="G6" s="192">
        <v>439704.00000000006</v>
      </c>
      <c r="H6" s="192">
        <v>463891</v>
      </c>
      <c r="I6" s="192">
        <v>490025.99999999988</v>
      </c>
      <c r="J6" s="192">
        <v>512698.99999999994</v>
      </c>
      <c r="K6" s="192">
        <v>534484</v>
      </c>
      <c r="L6" s="192">
        <v>551013</v>
      </c>
      <c r="M6" s="192">
        <v>559739</v>
      </c>
      <c r="N6" s="192">
        <v>571234.99999999988</v>
      </c>
      <c r="O6" s="192">
        <v>589723</v>
      </c>
      <c r="P6" s="192">
        <v>613728</v>
      </c>
      <c r="Q6" s="192">
        <v>582997</v>
      </c>
      <c r="R6" s="194">
        <v>668838</v>
      </c>
      <c r="S6" s="192">
        <v>741003.99999999988</v>
      </c>
      <c r="T6" s="193">
        <v>744807</v>
      </c>
      <c r="U6" s="192">
        <v>757023</v>
      </c>
      <c r="V6" s="192">
        <v>784516.15422914457</v>
      </c>
      <c r="W6" s="192">
        <f>V6*(1+W16)</f>
        <v>805195.61826503684</v>
      </c>
      <c r="X6" s="192">
        <f t="shared" ref="X6:AA6" si="0">W6*(1+X16)</f>
        <v>830429.23132445221</v>
      </c>
      <c r="Y6" s="192">
        <f t="shared" si="0"/>
        <v>854386.28469378524</v>
      </c>
      <c r="Z6" s="192">
        <f t="shared" si="0"/>
        <v>880097.96698120434</v>
      </c>
      <c r="AA6" s="192">
        <f t="shared" si="0"/>
        <v>906035.66189593379</v>
      </c>
      <c r="AB6" s="191"/>
    </row>
    <row r="7" spans="1:28" ht="39.950000000000003" customHeight="1" x14ac:dyDescent="0.25">
      <c r="A7" s="206" t="s">
        <v>63</v>
      </c>
      <c r="B7" s="203">
        <v>70375</v>
      </c>
      <c r="C7" s="196">
        <v>74044</v>
      </c>
      <c r="D7" s="197">
        <v>77427.000000000015</v>
      </c>
      <c r="E7" s="196">
        <v>81064</v>
      </c>
      <c r="F7" s="196">
        <v>84925</v>
      </c>
      <c r="G7" s="196">
        <v>89363</v>
      </c>
      <c r="H7" s="196">
        <v>95151</v>
      </c>
      <c r="I7" s="196">
        <v>99725</v>
      </c>
      <c r="J7" s="196">
        <v>108596.00000000003</v>
      </c>
      <c r="K7" s="196">
        <v>113674</v>
      </c>
      <c r="L7" s="196">
        <v>119188</v>
      </c>
      <c r="M7" s="196">
        <v>121362.00000000001</v>
      </c>
      <c r="N7" s="196">
        <v>125783</v>
      </c>
      <c r="O7" s="196">
        <v>135030</v>
      </c>
      <c r="P7" s="196">
        <v>142152</v>
      </c>
      <c r="Q7" s="196">
        <v>141071</v>
      </c>
      <c r="R7" s="198">
        <v>154922</v>
      </c>
      <c r="S7" s="196">
        <v>156452</v>
      </c>
      <c r="T7" s="212">
        <v>158878</v>
      </c>
      <c r="U7" s="195">
        <v>159810.99999999997</v>
      </c>
      <c r="V7" s="196">
        <v>171226.2309509097</v>
      </c>
      <c r="W7" s="195">
        <f t="shared" ref="W7:AA10" si="1">V7*(1+W17)</f>
        <v>177844.29600687011</v>
      </c>
      <c r="X7" s="195">
        <f t="shared" si="1"/>
        <v>187632.89671293247</v>
      </c>
      <c r="Y7" s="195">
        <f t="shared" si="1"/>
        <v>196422.68029872622</v>
      </c>
      <c r="Z7" s="195">
        <f t="shared" si="1"/>
        <v>206429.03375553418</v>
      </c>
      <c r="AA7" s="195">
        <f t="shared" si="1"/>
        <v>216522.23748429489</v>
      </c>
      <c r="AB7" s="191"/>
    </row>
    <row r="8" spans="1:28" s="148" customFormat="1" ht="39.950000000000003" customHeight="1" x14ac:dyDescent="0.25">
      <c r="A8" s="217" t="s">
        <v>65</v>
      </c>
      <c r="B8" s="202">
        <v>86720.000000000015</v>
      </c>
      <c r="C8" s="192">
        <v>101405</v>
      </c>
      <c r="D8" s="193">
        <v>117424</v>
      </c>
      <c r="E8" s="192">
        <v>128090</v>
      </c>
      <c r="F8" s="192">
        <v>120026</v>
      </c>
      <c r="G8" s="192">
        <v>131503</v>
      </c>
      <c r="H8" s="192">
        <v>155852</v>
      </c>
      <c r="I8" s="192">
        <v>160351</v>
      </c>
      <c r="J8" s="192">
        <v>172869</v>
      </c>
      <c r="K8" s="192">
        <v>193533</v>
      </c>
      <c r="L8" s="192">
        <v>191305</v>
      </c>
      <c r="M8" s="192">
        <v>190994</v>
      </c>
      <c r="N8" s="192">
        <v>184828</v>
      </c>
      <c r="O8" s="192">
        <v>187607.99999999997</v>
      </c>
      <c r="P8" s="192">
        <v>193147</v>
      </c>
      <c r="Q8" s="192">
        <v>153203</v>
      </c>
      <c r="R8" s="194">
        <v>170923</v>
      </c>
      <c r="S8" s="192">
        <v>198344</v>
      </c>
      <c r="T8" s="193">
        <v>166406</v>
      </c>
      <c r="U8" s="192">
        <v>170387.99999999997</v>
      </c>
      <c r="V8" s="192">
        <v>173947.39176549573</v>
      </c>
      <c r="W8" s="192">
        <f t="shared" si="1"/>
        <v>177845.49594032613</v>
      </c>
      <c r="X8" s="192">
        <f t="shared" si="1"/>
        <v>181695.81477896898</v>
      </c>
      <c r="Y8" s="192">
        <f t="shared" si="1"/>
        <v>185698.5254089665</v>
      </c>
      <c r="Z8" s="192">
        <f t="shared" si="1"/>
        <v>189754.13771619822</v>
      </c>
      <c r="AA8" s="192">
        <f t="shared" si="1"/>
        <v>193916.34735530525</v>
      </c>
      <c r="AB8" s="218"/>
    </row>
    <row r="9" spans="1:28" s="148" customFormat="1" ht="39.950000000000003" customHeight="1" x14ac:dyDescent="0.25">
      <c r="A9" s="210" t="s">
        <v>69</v>
      </c>
      <c r="B9" s="211">
        <v>88125</v>
      </c>
      <c r="C9" s="195">
        <v>96513.000000000015</v>
      </c>
      <c r="D9" s="212">
        <v>102516</v>
      </c>
      <c r="E9" s="195">
        <v>104603.99999999999</v>
      </c>
      <c r="F9" s="195">
        <v>99158.000000000015</v>
      </c>
      <c r="G9" s="195">
        <v>101203</v>
      </c>
      <c r="H9" s="195">
        <v>113608</v>
      </c>
      <c r="I9" s="195">
        <v>118690</v>
      </c>
      <c r="J9" s="195">
        <v>124241</v>
      </c>
      <c r="K9" s="195">
        <v>123882.00000000001</v>
      </c>
      <c r="L9" s="195">
        <v>125936</v>
      </c>
      <c r="M9" s="195">
        <v>125673</v>
      </c>
      <c r="N9" s="195">
        <v>128902</v>
      </c>
      <c r="O9" s="195">
        <v>129730</v>
      </c>
      <c r="P9" s="195">
        <v>133731</v>
      </c>
      <c r="Q9" s="195">
        <v>103696</v>
      </c>
      <c r="R9" s="213">
        <v>118871</v>
      </c>
      <c r="S9" s="195">
        <v>133683</v>
      </c>
      <c r="T9" s="212">
        <v>137845</v>
      </c>
      <c r="U9" s="195">
        <v>138383</v>
      </c>
      <c r="V9" s="195">
        <v>140934.00773097412</v>
      </c>
      <c r="W9" s="195">
        <f t="shared" si="1"/>
        <v>142508.05284370799</v>
      </c>
      <c r="X9" s="195">
        <f t="shared" si="1"/>
        <v>144617.39069843045</v>
      </c>
      <c r="Y9" s="195">
        <f t="shared" si="1"/>
        <v>146495.26214098319</v>
      </c>
      <c r="Z9" s="195">
        <f t="shared" si="1"/>
        <v>148530.56737281344</v>
      </c>
      <c r="AA9" s="195">
        <f t="shared" si="1"/>
        <v>150526.70077861598</v>
      </c>
      <c r="AB9" s="218"/>
    </row>
    <row r="10" spans="1:28" s="148" customFormat="1" ht="39.950000000000003" customHeight="1" thickBot="1" x14ac:dyDescent="0.3">
      <c r="A10" s="214" t="s">
        <v>71</v>
      </c>
      <c r="B10" s="215">
        <v>78708</v>
      </c>
      <c r="C10" s="216">
        <v>92625</v>
      </c>
      <c r="D10" s="193">
        <v>105460.99999999999</v>
      </c>
      <c r="E10" s="192">
        <v>118656</v>
      </c>
      <c r="F10" s="192">
        <v>108395</v>
      </c>
      <c r="G10" s="192">
        <v>120134</v>
      </c>
      <c r="H10" s="192">
        <v>144435.99999999997</v>
      </c>
      <c r="I10" s="192">
        <v>157977</v>
      </c>
      <c r="J10" s="192">
        <v>171443</v>
      </c>
      <c r="K10" s="192">
        <v>184747</v>
      </c>
      <c r="L10" s="192">
        <v>182750.00000000003</v>
      </c>
      <c r="M10" s="192">
        <v>176279</v>
      </c>
      <c r="N10" s="192">
        <v>178075</v>
      </c>
      <c r="O10" s="192">
        <v>188413</v>
      </c>
      <c r="P10" s="192">
        <v>202250.00000000003</v>
      </c>
      <c r="Q10" s="192">
        <v>161613</v>
      </c>
      <c r="R10" s="194">
        <v>204810</v>
      </c>
      <c r="S10" s="192">
        <v>253971.00000000003</v>
      </c>
      <c r="T10" s="193">
        <v>228498.00000000003</v>
      </c>
      <c r="U10" s="192">
        <v>231157</v>
      </c>
      <c r="V10" s="192">
        <v>250618.83208520326</v>
      </c>
      <c r="W10" s="192">
        <f t="shared" si="1"/>
        <v>262627.23298808624</v>
      </c>
      <c r="X10" s="192">
        <f t="shared" si="1"/>
        <v>279974.82949480147</v>
      </c>
      <c r="Y10" s="192">
        <f t="shared" si="1"/>
        <v>295929.0641218159</v>
      </c>
      <c r="Z10" s="192">
        <f t="shared" si="1"/>
        <v>314134.41265649174</v>
      </c>
      <c r="AA10" s="192">
        <f t="shared" si="1"/>
        <v>332747.47830561764</v>
      </c>
      <c r="AB10" s="218"/>
    </row>
    <row r="11" spans="1:28" s="148" customFormat="1" ht="39.950000000000003" customHeight="1" x14ac:dyDescent="0.25">
      <c r="A11" s="208" t="s">
        <v>77</v>
      </c>
      <c r="B11" s="209">
        <f>SUM(B6:B9)-B10</f>
        <v>515253</v>
      </c>
      <c r="C11" s="209">
        <f>SUM(C6:C9)-C10</f>
        <v>550290</v>
      </c>
      <c r="D11" s="209">
        <f>SUM(D6:D9)-D10</f>
        <v>587167</v>
      </c>
      <c r="E11" s="209">
        <f>SUM(E6:E9)-E10</f>
        <v>606628</v>
      </c>
      <c r="F11" s="209">
        <f>SUM(F6:F9)-F10</f>
        <v>614270</v>
      </c>
      <c r="G11" s="209">
        <f>SUM(G6:G9)-G10</f>
        <v>641639</v>
      </c>
      <c r="H11" s="209">
        <f>SUM(H6:H9)-H10</f>
        <v>684066</v>
      </c>
      <c r="I11" s="209">
        <f>SUM(I6:I9)-I10</f>
        <v>710814.99999999988</v>
      </c>
      <c r="J11" s="209">
        <f>SUM(J6:J9)-J10</f>
        <v>746962</v>
      </c>
      <c r="K11" s="209">
        <f>SUM(K6:K9)-K10</f>
        <v>780826</v>
      </c>
      <c r="L11" s="209">
        <f>SUM(L6:L9)-L10</f>
        <v>804692</v>
      </c>
      <c r="M11" s="209">
        <f>SUM(M6:M9)-M10</f>
        <v>821489</v>
      </c>
      <c r="N11" s="209">
        <f>SUM(N6:N9)-N10</f>
        <v>832672.99999999988</v>
      </c>
      <c r="O11" s="209">
        <f>SUM(O6:O9)-O10</f>
        <v>853678</v>
      </c>
      <c r="P11" s="209">
        <f>SUM(P6:P9)-P10</f>
        <v>880508</v>
      </c>
      <c r="Q11" s="209">
        <f>SUM(Q6:Q9)-Q10</f>
        <v>819354</v>
      </c>
      <c r="R11" s="209">
        <f>SUM(R6:R9)-R10</f>
        <v>908744</v>
      </c>
      <c r="S11" s="209">
        <f>SUM(S6:S9)-S10</f>
        <v>975512</v>
      </c>
      <c r="T11" s="209">
        <f>SUM(T6:T9)-T10</f>
        <v>979438</v>
      </c>
      <c r="U11" s="209">
        <f>SUM(U6:U9)-U10</f>
        <v>994448</v>
      </c>
      <c r="V11" s="209">
        <f>SUM(V6:V9)-V10</f>
        <v>1020004.9525913208</v>
      </c>
      <c r="W11" s="209">
        <f t="shared" ref="W11:AA11" si="2">SUM(W6:W9)-W10</f>
        <v>1040766.230067855</v>
      </c>
      <c r="X11" s="209">
        <f t="shared" si="2"/>
        <v>1064400.5040199826</v>
      </c>
      <c r="Y11" s="209">
        <f t="shared" si="2"/>
        <v>1087073.6884206454</v>
      </c>
      <c r="Z11" s="209">
        <f t="shared" si="2"/>
        <v>1110677.2931692586</v>
      </c>
      <c r="AA11" s="209">
        <f t="shared" si="2"/>
        <v>1134253.4692085322</v>
      </c>
    </row>
    <row r="12" spans="1:28" ht="39.950000000000003" customHeight="1" thickBot="1" x14ac:dyDescent="0.3">
      <c r="A12" s="251" t="s">
        <v>80</v>
      </c>
      <c r="B12" s="252">
        <v>0</v>
      </c>
      <c r="C12" s="253">
        <f>(C11/B11)-1</f>
        <v>6.7999604077996656E-2</v>
      </c>
      <c r="D12" s="253">
        <f t="shared" ref="D12:V12" si="3">(D11/C11)-1</f>
        <v>6.7013756382998002E-2</v>
      </c>
      <c r="E12" s="253">
        <f t="shared" si="3"/>
        <v>3.3143892623393345E-2</v>
      </c>
      <c r="F12" s="253">
        <f t="shared" si="3"/>
        <v>1.2597506214681919E-2</v>
      </c>
      <c r="G12" s="253">
        <f t="shared" si="3"/>
        <v>4.4555325833916637E-2</v>
      </c>
      <c r="H12" s="253">
        <f t="shared" si="3"/>
        <v>6.6122851011238382E-2</v>
      </c>
      <c r="I12" s="253">
        <f t="shared" si="3"/>
        <v>3.9102952054333784E-2</v>
      </c>
      <c r="J12" s="253">
        <f t="shared" si="3"/>
        <v>5.0852894212981115E-2</v>
      </c>
      <c r="K12" s="253">
        <f t="shared" si="3"/>
        <v>4.533563956399389E-2</v>
      </c>
      <c r="L12" s="253">
        <f t="shared" si="3"/>
        <v>3.0565068273853635E-2</v>
      </c>
      <c r="M12" s="253">
        <f t="shared" si="3"/>
        <v>2.0873825016279435E-2</v>
      </c>
      <c r="N12" s="253">
        <f t="shared" si="3"/>
        <v>1.3614302808680145E-2</v>
      </c>
      <c r="O12" s="253">
        <f t="shared" si="3"/>
        <v>2.5225989073742072E-2</v>
      </c>
      <c r="P12" s="253">
        <f t="shared" si="3"/>
        <v>3.1428711996795089E-2</v>
      </c>
      <c r="Q12" s="253">
        <f t="shared" si="3"/>
        <v>-6.9453088444398015E-2</v>
      </c>
      <c r="R12" s="253">
        <f t="shared" si="3"/>
        <v>0.1090981431713276</v>
      </c>
      <c r="S12" s="253">
        <f t="shared" si="3"/>
        <v>7.347283723468867E-2</v>
      </c>
      <c r="T12" s="253">
        <f t="shared" si="3"/>
        <v>4.0245532602367629E-3</v>
      </c>
      <c r="U12" s="253">
        <f t="shared" si="3"/>
        <v>1.5325115014937163E-2</v>
      </c>
      <c r="V12" s="253">
        <f t="shared" si="3"/>
        <v>2.5699636975810458E-2</v>
      </c>
      <c r="W12" s="253">
        <f t="shared" ref="W12" si="4">(W11/V11)-1</f>
        <v>2.0354094775510756E-2</v>
      </c>
      <c r="X12" s="253">
        <f t="shared" ref="X12" si="5">(X11/W11)-1</f>
        <v>2.2708532684219351E-2</v>
      </c>
      <c r="Y12" s="253">
        <f t="shared" ref="Y12" si="6">(Y11/X11)-1</f>
        <v>2.1301365712466103E-2</v>
      </c>
      <c r="Z12" s="253">
        <f t="shared" ref="Z12" si="7">(Z11/Y11)-1</f>
        <v>2.1712975854383698E-2</v>
      </c>
      <c r="AA12" s="253">
        <f t="shared" ref="AA12" si="8">(AA11/Z11)-1</f>
        <v>2.1226846163389324E-2</v>
      </c>
    </row>
    <row r="13" spans="1:28" ht="39.950000000000003" customHeight="1" thickBot="1" x14ac:dyDescent="0.3">
      <c r="A13" s="248"/>
      <c r="B13" s="249"/>
      <c r="C13" s="250"/>
      <c r="D13" s="250"/>
      <c r="E13" s="250"/>
      <c r="F13" s="250"/>
      <c r="G13" s="250"/>
      <c r="H13" s="250"/>
      <c r="I13" s="250"/>
      <c r="J13" s="250"/>
      <c r="K13" s="250"/>
      <c r="L13" s="250"/>
      <c r="M13" s="250"/>
      <c r="N13" s="250"/>
      <c r="O13" s="250"/>
      <c r="P13" s="250"/>
      <c r="Q13" s="250"/>
      <c r="R13" s="250"/>
      <c r="S13" s="250"/>
      <c r="T13" s="250"/>
      <c r="U13" s="250"/>
      <c r="V13" s="250"/>
      <c r="W13" s="250"/>
      <c r="X13" s="250"/>
      <c r="Y13" s="250"/>
      <c r="Z13" s="250"/>
      <c r="AA13" s="250"/>
    </row>
    <row r="14" spans="1:28" ht="39.950000000000003" customHeight="1" thickBot="1" x14ac:dyDescent="0.3">
      <c r="A14" s="190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19" t="s">
        <v>82</v>
      </c>
      <c r="X14" s="220"/>
      <c r="Y14" s="220"/>
      <c r="Z14" s="220"/>
      <c r="AA14" s="221"/>
    </row>
    <row r="15" spans="1:28" ht="39.950000000000003" customHeight="1" thickBot="1" x14ac:dyDescent="0.3">
      <c r="A15" s="234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205" t="s">
        <v>79</v>
      </c>
      <c r="B16" s="235">
        <v>0</v>
      </c>
      <c r="C16" s="236">
        <f>(C6/B6)-1</f>
        <v>6.3691966244290077E-2</v>
      </c>
      <c r="D16" s="236">
        <f>(D6/C6)-1</f>
        <v>6.5528517089766147E-2</v>
      </c>
      <c r="E16" s="236">
        <f>(E6/D6)-1</f>
        <v>4.1150024920242556E-2</v>
      </c>
      <c r="F16" s="236">
        <f>(F6/E6)-1</f>
        <v>1.7082760263021024E-2</v>
      </c>
      <c r="G16" s="236">
        <f>(G6/F6)-1</f>
        <v>5.0526094477202577E-2</v>
      </c>
      <c r="H16" s="242">
        <f>(H6/G6)-1</f>
        <v>5.5007459563706451E-2</v>
      </c>
      <c r="I16" s="242">
        <f>(I6/H6)-1</f>
        <v>5.6338665764155582E-2</v>
      </c>
      <c r="J16" s="242">
        <f>(J6/I6)-1</f>
        <v>4.626897348303971E-2</v>
      </c>
      <c r="K16" s="242">
        <f>(K6/J6)-1</f>
        <v>4.2490818199372393E-2</v>
      </c>
      <c r="L16" s="242">
        <f>(L6/K6)-1</f>
        <v>3.0925153980287501E-2</v>
      </c>
      <c r="M16" s="242">
        <f>(M6/L6)-1</f>
        <v>1.5836286984154624E-2</v>
      </c>
      <c r="N16" s="242">
        <f>(N6/M6)-1</f>
        <v>2.0538143670531861E-2</v>
      </c>
      <c r="O16" s="242">
        <f>(O6/N6)-1</f>
        <v>3.2364963631430266E-2</v>
      </c>
      <c r="P16" s="242">
        <f>(P6/O6)-1</f>
        <v>4.0705551589474975E-2</v>
      </c>
      <c r="Q16" s="242">
        <f>(Q6/P6)-1</f>
        <v>-5.0072670629334182E-2</v>
      </c>
      <c r="R16" s="242">
        <f>(R6/Q6)-1</f>
        <v>0.14724089489311276</v>
      </c>
      <c r="S16" s="242">
        <f>(S6/R6)-1</f>
        <v>0.10789757758978991</v>
      </c>
      <c r="T16" s="242">
        <f>(T6/S6)-1</f>
        <v>5.1322260068773495E-3</v>
      </c>
      <c r="U16" s="242">
        <f>(U6/T6)-1</f>
        <v>1.6401564432128035E-2</v>
      </c>
      <c r="V16" s="242">
        <f>(V6/U6)-1</f>
        <v>3.6317462255631039E-2</v>
      </c>
      <c r="W16" s="245">
        <f>AVERAGE(U16:V16)</f>
        <v>2.6359513343879537E-2</v>
      </c>
      <c r="X16" s="245">
        <f t="shared" ref="X16:AA20" si="9">AVERAGE(V16:W16)</f>
        <v>3.1338487799755288E-2</v>
      </c>
      <c r="Y16" s="245">
        <f t="shared" si="9"/>
        <v>2.8849000571817413E-2</v>
      </c>
      <c r="Z16" s="245">
        <f t="shared" si="9"/>
        <v>3.009374418578635E-2</v>
      </c>
      <c r="AA16" s="245">
        <f t="shared" si="9"/>
        <v>2.9471372378801881E-2</v>
      </c>
    </row>
    <row r="17" spans="1:27" x14ac:dyDescent="0.25">
      <c r="A17" s="206" t="s">
        <v>63</v>
      </c>
      <c r="B17" s="237">
        <v>0</v>
      </c>
      <c r="C17" s="238">
        <f>(C7/B7)-1</f>
        <v>5.2134991119005436E-2</v>
      </c>
      <c r="D17" s="238">
        <f>(D7/C7)-1</f>
        <v>4.5689049754200406E-2</v>
      </c>
      <c r="E17" s="238">
        <f>(E7/D7)-1</f>
        <v>4.6973278055458589E-2</v>
      </c>
      <c r="F17" s="238">
        <f>(F7/E7)-1</f>
        <v>4.7629033849797775E-2</v>
      </c>
      <c r="G17" s="238">
        <f>(G7/F7)-1</f>
        <v>5.2257874595231124E-2</v>
      </c>
      <c r="H17" s="243">
        <f>(H7/G7)-1</f>
        <v>6.4769535490079688E-2</v>
      </c>
      <c r="I17" s="243">
        <f>(I7/H7)-1</f>
        <v>4.8070960893737302E-2</v>
      </c>
      <c r="J17" s="243">
        <f>(J7/I7)-1</f>
        <v>8.89546252193536E-2</v>
      </c>
      <c r="K17" s="243">
        <f>(K7/J7)-1</f>
        <v>4.6760469998894605E-2</v>
      </c>
      <c r="L17" s="243">
        <f>(L7/K7)-1</f>
        <v>4.850713443707444E-2</v>
      </c>
      <c r="M17" s="243">
        <f>(M7/L7)-1</f>
        <v>1.8240091284357662E-2</v>
      </c>
      <c r="N17" s="243">
        <f>(N7/M7)-1</f>
        <v>3.6428206522634676E-2</v>
      </c>
      <c r="O17" s="243">
        <f>(O7/N7)-1</f>
        <v>7.3515498914797694E-2</v>
      </c>
      <c r="P17" s="243">
        <f>(P7/O7)-1</f>
        <v>5.2743834703399273E-2</v>
      </c>
      <c r="Q17" s="243">
        <f>(Q7/P7)-1</f>
        <v>-7.6045359896448339E-3</v>
      </c>
      <c r="R17" s="243">
        <f>(R7/Q7)-1</f>
        <v>9.818460207980384E-2</v>
      </c>
      <c r="S17" s="243">
        <f>(S7/R7)-1</f>
        <v>9.8759375685828488E-3</v>
      </c>
      <c r="T17" s="243">
        <f>(T7/S7)-1</f>
        <v>1.5506353386342209E-2</v>
      </c>
      <c r="U17" s="243">
        <f>(U7/T7)-1</f>
        <v>5.8724304183082054E-3</v>
      </c>
      <c r="V17" s="243">
        <f>(V7/U7)-1</f>
        <v>7.142956962230218E-2</v>
      </c>
      <c r="W17" s="246">
        <f t="shared" ref="W17:W20" si="10">AVERAGE(U17:V17)</f>
        <v>3.8651000020305193E-2</v>
      </c>
      <c r="X17" s="246">
        <f t="shared" si="9"/>
        <v>5.5040284821303687E-2</v>
      </c>
      <c r="Y17" s="246">
        <f t="shared" si="9"/>
        <v>4.684564242080444E-2</v>
      </c>
      <c r="Z17" s="246">
        <f t="shared" si="9"/>
        <v>5.0942963621054063E-2</v>
      </c>
      <c r="AA17" s="246">
        <f t="shared" si="9"/>
        <v>4.8894303020929251E-2</v>
      </c>
    </row>
    <row r="18" spans="1:27" x14ac:dyDescent="0.25">
      <c r="A18" s="217" t="s">
        <v>65</v>
      </c>
      <c r="B18" s="239">
        <v>0</v>
      </c>
      <c r="C18" s="238">
        <f>(C8/B8)-1</f>
        <v>0.16933809963099611</v>
      </c>
      <c r="D18" s="238">
        <f>(D8/C8)-1</f>
        <v>0.15797051427444408</v>
      </c>
      <c r="E18" s="238">
        <f>(E8/D8)-1</f>
        <v>9.0833219784711705E-2</v>
      </c>
      <c r="F18" s="238">
        <f>(F8/E8)-1</f>
        <v>-6.2955734249355966E-2</v>
      </c>
      <c r="G18" s="238">
        <f>(G8/F8)-1</f>
        <v>9.5620948794427951E-2</v>
      </c>
      <c r="H18" s="243">
        <f>(H8/G8)-1</f>
        <v>0.18515927393291398</v>
      </c>
      <c r="I18" s="243">
        <f>(I8/H8)-1</f>
        <v>2.8867130354438775E-2</v>
      </c>
      <c r="J18" s="243">
        <f>(J8/I8)-1</f>
        <v>7.8066242181215051E-2</v>
      </c>
      <c r="K18" s="243">
        <f>(K8/J8)-1</f>
        <v>0.1195356021033267</v>
      </c>
      <c r="L18" s="243">
        <f>(L8/K8)-1</f>
        <v>-1.1512248557093652E-2</v>
      </c>
      <c r="M18" s="243">
        <f>(M8/L8)-1</f>
        <v>-1.6256762761035493E-3</v>
      </c>
      <c r="N18" s="243">
        <f>(N8/M8)-1</f>
        <v>-3.2283736661884666E-2</v>
      </c>
      <c r="O18" s="243">
        <f>(O8/N8)-1</f>
        <v>1.5041011102213897E-2</v>
      </c>
      <c r="P18" s="243">
        <f>(P8/O8)-1</f>
        <v>2.9524327320796795E-2</v>
      </c>
      <c r="Q18" s="243">
        <f>(Q8/P8)-1</f>
        <v>-0.20680621495544849</v>
      </c>
      <c r="R18" s="243">
        <f>(R8/Q8)-1</f>
        <v>0.11566353139298835</v>
      </c>
      <c r="S18" s="243">
        <f>(S8/R8)-1</f>
        <v>0.16042896508954319</v>
      </c>
      <c r="T18" s="243">
        <f>(T8/S8)-1</f>
        <v>-0.16102327269793892</v>
      </c>
      <c r="U18" s="243">
        <f>(U8/T8)-1</f>
        <v>2.3929425621672218E-2</v>
      </c>
      <c r="V18" s="243">
        <f>(V8/U8)-1</f>
        <v>2.0889920449185251E-2</v>
      </c>
      <c r="W18" s="246">
        <f t="shared" si="10"/>
        <v>2.2409673035428734E-2</v>
      </c>
      <c r="X18" s="246">
        <f t="shared" si="9"/>
        <v>2.1649796742306993E-2</v>
      </c>
      <c r="Y18" s="246">
        <f t="shared" si="9"/>
        <v>2.2029734888867863E-2</v>
      </c>
      <c r="Z18" s="246">
        <f t="shared" si="9"/>
        <v>2.1839765815587428E-2</v>
      </c>
      <c r="AA18" s="246">
        <f t="shared" si="9"/>
        <v>2.1934750352227646E-2</v>
      </c>
    </row>
    <row r="19" spans="1:27" x14ac:dyDescent="0.25">
      <c r="A19" s="210" t="s">
        <v>69</v>
      </c>
      <c r="B19" s="239">
        <v>0</v>
      </c>
      <c r="C19" s="238">
        <f>(C9/B9)-1</f>
        <v>9.5182978723404421E-2</v>
      </c>
      <c r="D19" s="238">
        <f>(D9/C9)-1</f>
        <v>6.2198874762985135E-2</v>
      </c>
      <c r="E19" s="238">
        <f>(E9/D9)-1</f>
        <v>2.0367552382067E-2</v>
      </c>
      <c r="F19" s="238">
        <f>(F9/E9)-1</f>
        <v>-5.2063018622614532E-2</v>
      </c>
      <c r="G19" s="238">
        <f>(G9/F9)-1</f>
        <v>2.0623651142620769E-2</v>
      </c>
      <c r="H19" s="243">
        <f>(H9/G9)-1</f>
        <v>0.1225754177247711</v>
      </c>
      <c r="I19" s="243">
        <f>(I9/H9)-1</f>
        <v>4.4732765298218347E-2</v>
      </c>
      <c r="J19" s="243">
        <f>(J9/I9)-1</f>
        <v>4.6768893756845564E-2</v>
      </c>
      <c r="K19" s="243">
        <f>(K9/J9)-1</f>
        <v>-2.8895453191779552E-3</v>
      </c>
      <c r="L19" s="243">
        <f>(L9/K9)-1</f>
        <v>1.6580294150885466E-2</v>
      </c>
      <c r="M19" s="243">
        <f>(M9/L9)-1</f>
        <v>-2.0883623427773168E-3</v>
      </c>
      <c r="N19" s="243">
        <f>(N9/M9)-1</f>
        <v>2.5693665305992486E-2</v>
      </c>
      <c r="O19" s="243">
        <f>(O9/N9)-1</f>
        <v>6.423484507610322E-3</v>
      </c>
      <c r="P19" s="243">
        <f>(P9/O9)-1</f>
        <v>3.0840977414630322E-2</v>
      </c>
      <c r="Q19" s="243">
        <f>(Q9/P9)-1</f>
        <v>-0.2245926524141747</v>
      </c>
      <c r="R19" s="243">
        <f>(R9/Q9)-1</f>
        <v>0.14634122820552387</v>
      </c>
      <c r="S19" s="243">
        <f>(S9/R9)-1</f>
        <v>0.12460566496454129</v>
      </c>
      <c r="T19" s="243">
        <f>(T9/S9)-1</f>
        <v>3.1133352782328316E-2</v>
      </c>
      <c r="U19" s="243">
        <f>(U9/T9)-1</f>
        <v>3.9029344553664913E-3</v>
      </c>
      <c r="V19" s="243">
        <f>(V9/U9)-1</f>
        <v>1.8434401125673849E-2</v>
      </c>
      <c r="W19" s="246">
        <f t="shared" si="10"/>
        <v>1.116866779052017E-2</v>
      </c>
      <c r="X19" s="246">
        <f t="shared" si="9"/>
        <v>1.480153445809701E-2</v>
      </c>
      <c r="Y19" s="246">
        <f t="shared" si="9"/>
        <v>1.298510112430859E-2</v>
      </c>
      <c r="Z19" s="246">
        <f t="shared" si="9"/>
        <v>1.38933177912028E-2</v>
      </c>
      <c r="AA19" s="246">
        <f t="shared" si="9"/>
        <v>1.3439209457755695E-2</v>
      </c>
    </row>
    <row r="20" spans="1:27" ht="15.75" thickBot="1" x14ac:dyDescent="0.3">
      <c r="A20" s="214" t="s">
        <v>71</v>
      </c>
      <c r="B20" s="240">
        <v>0</v>
      </c>
      <c r="C20" s="241">
        <f>(C10/B10)-1</f>
        <v>0.17681811251715196</v>
      </c>
      <c r="D20" s="241">
        <f>(D10/C10)-1</f>
        <v>0.13858029689608631</v>
      </c>
      <c r="E20" s="241">
        <f>(E10/D10)-1</f>
        <v>0.12511734195579427</v>
      </c>
      <c r="F20" s="241">
        <f>(F10/E10)-1</f>
        <v>-8.6476874325782105E-2</v>
      </c>
      <c r="G20" s="241">
        <f>(G10/F10)-1</f>
        <v>0.10829835324507586</v>
      </c>
      <c r="H20" s="244">
        <f>(H10/G10)-1</f>
        <v>0.20229077530091377</v>
      </c>
      <c r="I20" s="244">
        <f>(I10/H10)-1</f>
        <v>9.3750865435210384E-2</v>
      </c>
      <c r="J20" s="244">
        <f>(J10/I10)-1</f>
        <v>8.5240256493033906E-2</v>
      </c>
      <c r="K20" s="244">
        <f>(K10/J10)-1</f>
        <v>7.7600135321943764E-2</v>
      </c>
      <c r="L20" s="244">
        <f>(L10/K10)-1</f>
        <v>-1.0809377148207955E-2</v>
      </c>
      <c r="M20" s="244">
        <f>(M10/L10)-1</f>
        <v>-3.5409028727770298E-2</v>
      </c>
      <c r="N20" s="244">
        <f>(N10/M10)-1</f>
        <v>1.0188394533665379E-2</v>
      </c>
      <c r="O20" s="244">
        <f>(O10/N10)-1</f>
        <v>5.8054190650006943E-2</v>
      </c>
      <c r="P20" s="244">
        <f>(P10/O10)-1</f>
        <v>7.3439730804137904E-2</v>
      </c>
      <c r="Q20" s="244">
        <f>(Q10/P10)-1</f>
        <v>-0.20092459826946862</v>
      </c>
      <c r="R20" s="244">
        <f>(R10/Q10)-1</f>
        <v>0.26728666629540943</v>
      </c>
      <c r="S20" s="244">
        <f>(S10/R10)-1</f>
        <v>0.24003222498901433</v>
      </c>
      <c r="T20" s="244">
        <f>(T10/S10)-1</f>
        <v>-0.10029885301865171</v>
      </c>
      <c r="U20" s="244">
        <f>(U10/T10)-1</f>
        <v>1.1636863342348702E-2</v>
      </c>
      <c r="V20" s="244">
        <f>(V10/U10)-1</f>
        <v>8.4193133174436774E-2</v>
      </c>
      <c r="W20" s="247">
        <f t="shared" si="10"/>
        <v>4.7914998258392738E-2</v>
      </c>
      <c r="X20" s="247">
        <f t="shared" si="9"/>
        <v>6.6054065716414756E-2</v>
      </c>
      <c r="Y20" s="247">
        <f t="shared" si="9"/>
        <v>5.6984531987403747E-2</v>
      </c>
      <c r="Z20" s="247">
        <f t="shared" si="9"/>
        <v>6.1519298851909252E-2</v>
      </c>
      <c r="AA20" s="247">
        <f t="shared" si="9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75"/>
      <c r="B1" s="175"/>
      <c r="C1" s="175"/>
      <c r="D1" s="175"/>
      <c r="E1" s="175"/>
      <c r="F1" s="175"/>
      <c r="G1" s="175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68" t="s">
        <v>0</v>
      </c>
      <c r="B3" s="168"/>
      <c r="C3" s="168"/>
      <c r="D3" s="168"/>
      <c r="E3" s="168"/>
      <c r="F3" s="168"/>
      <c r="G3" s="168"/>
    </row>
    <row r="4" spans="1:86" s="4" customFormat="1" ht="14.25" customHeight="1" x14ac:dyDescent="0.35">
      <c r="A4" s="168"/>
      <c r="B4" s="168"/>
      <c r="C4" s="168"/>
      <c r="D4" s="168"/>
      <c r="E4" s="168"/>
      <c r="F4" s="168"/>
      <c r="G4" s="168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72" t="s">
        <v>8</v>
      </c>
      <c r="B10" s="170" t="s">
        <v>10</v>
      </c>
      <c r="C10" s="170">
        <v>2005</v>
      </c>
      <c r="D10" s="170"/>
      <c r="E10" s="170"/>
      <c r="F10" s="170"/>
      <c r="G10" s="170">
        <v>2006</v>
      </c>
      <c r="H10" s="170"/>
      <c r="I10" s="170"/>
      <c r="J10" s="170"/>
      <c r="K10" s="170">
        <v>2007</v>
      </c>
      <c r="L10" s="170"/>
      <c r="M10" s="170"/>
      <c r="N10" s="170"/>
      <c r="O10" s="170">
        <v>2008</v>
      </c>
      <c r="P10" s="170"/>
      <c r="Q10" s="170"/>
      <c r="R10" s="170"/>
      <c r="S10" s="170">
        <v>2009</v>
      </c>
      <c r="T10" s="170"/>
      <c r="U10" s="170"/>
      <c r="V10" s="170"/>
      <c r="W10" s="170">
        <v>2010</v>
      </c>
      <c r="X10" s="170"/>
      <c r="Y10" s="170"/>
      <c r="Z10" s="170"/>
      <c r="AA10" s="170">
        <v>2011</v>
      </c>
      <c r="AB10" s="170"/>
      <c r="AC10" s="170"/>
      <c r="AD10" s="170"/>
      <c r="AE10" s="170">
        <v>2012</v>
      </c>
      <c r="AF10" s="170"/>
      <c r="AG10" s="170"/>
      <c r="AH10" s="170"/>
      <c r="AI10" s="170">
        <v>2013</v>
      </c>
      <c r="AJ10" s="170"/>
      <c r="AK10" s="170"/>
      <c r="AL10" s="170"/>
      <c r="AM10" s="170">
        <v>2014</v>
      </c>
      <c r="AN10" s="170"/>
      <c r="AO10" s="170"/>
      <c r="AP10" s="170"/>
      <c r="AQ10" s="170">
        <v>2015</v>
      </c>
      <c r="AR10" s="170"/>
      <c r="AS10" s="170"/>
      <c r="AT10" s="170"/>
      <c r="AU10" s="170">
        <v>2016</v>
      </c>
      <c r="AV10" s="170"/>
      <c r="AW10" s="170"/>
      <c r="AX10" s="170"/>
      <c r="AY10" s="170">
        <v>2017</v>
      </c>
      <c r="AZ10" s="170"/>
      <c r="BA10" s="170"/>
      <c r="BB10" s="170"/>
      <c r="BC10" s="170">
        <v>2018</v>
      </c>
      <c r="BD10" s="170"/>
      <c r="BE10" s="170"/>
      <c r="BF10" s="170"/>
      <c r="BG10" s="170">
        <v>2019</v>
      </c>
      <c r="BH10" s="170"/>
      <c r="BI10" s="170"/>
      <c r="BJ10" s="170"/>
      <c r="BK10" s="170">
        <v>2020</v>
      </c>
      <c r="BL10" s="170"/>
      <c r="BM10" s="170"/>
      <c r="BN10" s="170"/>
      <c r="BO10" s="170">
        <v>2021</v>
      </c>
      <c r="BP10" s="170"/>
      <c r="BQ10" s="170"/>
      <c r="BR10" s="170"/>
      <c r="BS10" s="170">
        <v>2022</v>
      </c>
      <c r="BT10" s="170"/>
      <c r="BU10" s="170"/>
      <c r="BV10" s="170"/>
      <c r="BW10" s="170">
        <v>2023</v>
      </c>
      <c r="BX10" s="170"/>
      <c r="BY10" s="170"/>
      <c r="BZ10" s="170"/>
      <c r="CA10" s="170" t="s">
        <v>12</v>
      </c>
      <c r="CB10" s="170"/>
      <c r="CC10" s="170"/>
      <c r="CD10" s="170"/>
      <c r="CE10" s="170" t="s">
        <v>13</v>
      </c>
      <c r="CF10" s="170"/>
      <c r="CG10" s="170"/>
      <c r="CH10" s="171"/>
    </row>
    <row r="11" spans="1:86" s="13" customFormat="1" ht="12" customHeight="1" x14ac:dyDescent="0.25">
      <c r="A11" s="173"/>
      <c r="B11" s="174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168" t="s">
        <v>0</v>
      </c>
      <c r="B28" s="168"/>
      <c r="C28" s="168"/>
      <c r="D28" s="168"/>
      <c r="E28" s="168"/>
      <c r="F28" s="168"/>
      <c r="G28" s="168"/>
      <c r="BH28" s="1"/>
    </row>
    <row r="29" spans="1:86" s="2" customFormat="1" ht="13.5" customHeight="1" x14ac:dyDescent="0.2">
      <c r="A29" s="168"/>
      <c r="B29" s="168"/>
      <c r="C29" s="168"/>
      <c r="D29" s="168"/>
      <c r="E29" s="168"/>
      <c r="F29" s="168"/>
      <c r="G29" s="168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172" t="s">
        <v>8</v>
      </c>
      <c r="B34" s="170" t="s">
        <v>10</v>
      </c>
      <c r="C34" s="170"/>
      <c r="D34" s="170"/>
      <c r="E34" s="170"/>
      <c r="F34" s="170"/>
      <c r="G34" s="170">
        <v>2006</v>
      </c>
      <c r="H34" s="170"/>
      <c r="I34" s="170"/>
      <c r="J34" s="170"/>
      <c r="K34" s="170">
        <v>2007</v>
      </c>
      <c r="L34" s="170"/>
      <c r="M34" s="170"/>
      <c r="N34" s="170"/>
      <c r="O34" s="170">
        <v>2008</v>
      </c>
      <c r="P34" s="170"/>
      <c r="Q34" s="170"/>
      <c r="R34" s="170"/>
      <c r="S34" s="170">
        <v>2009</v>
      </c>
      <c r="T34" s="170"/>
      <c r="U34" s="170"/>
      <c r="V34" s="170"/>
      <c r="W34" s="170">
        <v>2010</v>
      </c>
      <c r="X34" s="170"/>
      <c r="Y34" s="170"/>
      <c r="Z34" s="170"/>
      <c r="AA34" s="170">
        <v>2011</v>
      </c>
      <c r="AB34" s="170"/>
      <c r="AC34" s="170"/>
      <c r="AD34" s="170"/>
      <c r="AE34" s="170">
        <v>2012</v>
      </c>
      <c r="AF34" s="170"/>
      <c r="AG34" s="170"/>
      <c r="AH34" s="170"/>
      <c r="AI34" s="170">
        <v>2013</v>
      </c>
      <c r="AJ34" s="170"/>
      <c r="AK34" s="170"/>
      <c r="AL34" s="170"/>
      <c r="AM34" s="170">
        <v>2014</v>
      </c>
      <c r="AN34" s="170"/>
      <c r="AO34" s="170"/>
      <c r="AP34" s="170"/>
      <c r="AQ34" s="170">
        <v>2015</v>
      </c>
      <c r="AR34" s="170"/>
      <c r="AS34" s="170"/>
      <c r="AT34" s="170"/>
      <c r="AU34" s="170">
        <v>2016</v>
      </c>
      <c r="AV34" s="170"/>
      <c r="AW34" s="170"/>
      <c r="AX34" s="170"/>
      <c r="AY34" s="170">
        <v>2017</v>
      </c>
      <c r="AZ34" s="170"/>
      <c r="BA34" s="170"/>
      <c r="BB34" s="170"/>
      <c r="BC34" s="170">
        <v>2018</v>
      </c>
      <c r="BD34" s="170"/>
      <c r="BE34" s="170"/>
      <c r="BF34" s="170"/>
      <c r="BG34" s="170">
        <v>2019</v>
      </c>
      <c r="BH34" s="170"/>
      <c r="BI34" s="170"/>
      <c r="BJ34" s="170"/>
      <c r="BK34" s="170">
        <v>2020</v>
      </c>
      <c r="BL34" s="170"/>
      <c r="BM34" s="170"/>
      <c r="BN34" s="170"/>
      <c r="BO34" s="170">
        <v>2021</v>
      </c>
      <c r="BP34" s="170"/>
      <c r="BQ34" s="170"/>
      <c r="BR34" s="170"/>
      <c r="BS34" s="170">
        <v>2022</v>
      </c>
      <c r="BT34" s="170"/>
      <c r="BU34" s="170"/>
      <c r="BV34" s="170"/>
      <c r="BW34" s="170">
        <v>2023</v>
      </c>
      <c r="BX34" s="170"/>
      <c r="BY34" s="170"/>
      <c r="BZ34" s="170"/>
      <c r="CA34" s="170" t="s">
        <v>12</v>
      </c>
      <c r="CB34" s="170"/>
      <c r="CC34" s="170"/>
      <c r="CD34" s="170"/>
      <c r="CE34" s="170" t="s">
        <v>13</v>
      </c>
      <c r="CF34" s="170"/>
      <c r="CG34" s="170"/>
      <c r="CH34" s="171"/>
    </row>
    <row r="35" spans="1:86" s="13" customFormat="1" x14ac:dyDescent="0.25">
      <c r="A35" s="173"/>
      <c r="B35" s="174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168" t="s">
        <v>0</v>
      </c>
      <c r="B55" s="168"/>
      <c r="C55" s="168"/>
      <c r="D55" s="168"/>
      <c r="E55" s="168"/>
      <c r="F55" s="168"/>
      <c r="G55" s="168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168"/>
      <c r="B56" s="168"/>
      <c r="C56" s="168"/>
      <c r="D56" s="168"/>
      <c r="E56" s="168"/>
      <c r="F56" s="168"/>
      <c r="G56" s="168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172" t="s">
        <v>8</v>
      </c>
      <c r="B61" s="170" t="s">
        <v>10</v>
      </c>
      <c r="C61" s="170"/>
      <c r="D61" s="170"/>
      <c r="E61" s="170"/>
      <c r="F61" s="170"/>
      <c r="G61" s="170">
        <v>2006</v>
      </c>
      <c r="H61" s="170"/>
      <c r="I61" s="170"/>
      <c r="J61" s="170"/>
      <c r="K61" s="170">
        <v>2007</v>
      </c>
      <c r="L61" s="170"/>
      <c r="M61" s="170"/>
      <c r="N61" s="170"/>
      <c r="O61" s="170">
        <v>2008</v>
      </c>
      <c r="P61" s="170"/>
      <c r="Q61" s="170"/>
      <c r="R61" s="170"/>
      <c r="S61" s="170">
        <v>2009</v>
      </c>
      <c r="T61" s="170"/>
      <c r="U61" s="170"/>
      <c r="V61" s="170"/>
      <c r="W61" s="170">
        <v>2010</v>
      </c>
      <c r="X61" s="170"/>
      <c r="Y61" s="170"/>
      <c r="Z61" s="170"/>
      <c r="AA61" s="170">
        <v>2011</v>
      </c>
      <c r="AB61" s="170"/>
      <c r="AC61" s="170"/>
      <c r="AD61" s="170"/>
      <c r="AE61" s="170">
        <v>2012</v>
      </c>
      <c r="AF61" s="170"/>
      <c r="AG61" s="170"/>
      <c r="AH61" s="170"/>
      <c r="AI61" s="170">
        <v>2013</v>
      </c>
      <c r="AJ61" s="170"/>
      <c r="AK61" s="170"/>
      <c r="AL61" s="170"/>
      <c r="AM61" s="170">
        <v>2014</v>
      </c>
      <c r="AN61" s="170"/>
      <c r="AO61" s="170"/>
      <c r="AP61" s="170"/>
      <c r="AQ61" s="170">
        <v>2015</v>
      </c>
      <c r="AR61" s="170"/>
      <c r="AS61" s="170"/>
      <c r="AT61" s="170"/>
      <c r="AU61" s="170">
        <v>2016</v>
      </c>
      <c r="AV61" s="170"/>
      <c r="AW61" s="170"/>
      <c r="AX61" s="170"/>
      <c r="AY61" s="170">
        <v>2017</v>
      </c>
      <c r="AZ61" s="170"/>
      <c r="BA61" s="170"/>
      <c r="BB61" s="170"/>
      <c r="BC61" s="170">
        <v>2018</v>
      </c>
      <c r="BD61" s="170"/>
      <c r="BE61" s="170"/>
      <c r="BF61" s="170"/>
      <c r="BG61" s="170">
        <v>2019</v>
      </c>
      <c r="BH61" s="170"/>
      <c r="BI61" s="170"/>
      <c r="BJ61" s="170"/>
      <c r="BK61" s="170">
        <v>2020</v>
      </c>
      <c r="BL61" s="170"/>
      <c r="BM61" s="170"/>
      <c r="BN61" s="170"/>
      <c r="BO61" s="170">
        <v>2021</v>
      </c>
      <c r="BP61" s="170"/>
      <c r="BQ61" s="170"/>
      <c r="BR61" s="170"/>
      <c r="BS61" s="170">
        <v>2022</v>
      </c>
      <c r="BT61" s="170"/>
      <c r="BU61" s="170"/>
      <c r="BV61" s="170"/>
      <c r="BW61" s="170">
        <v>2023</v>
      </c>
      <c r="BX61" s="170"/>
      <c r="BY61" s="170"/>
      <c r="BZ61" s="170"/>
      <c r="CA61" s="170" t="s">
        <v>12</v>
      </c>
      <c r="CB61" s="170"/>
      <c r="CC61" s="170"/>
      <c r="CD61" s="170"/>
      <c r="CE61" s="170" t="s">
        <v>13</v>
      </c>
      <c r="CF61" s="170"/>
      <c r="CG61" s="170"/>
      <c r="CH61" s="171"/>
    </row>
    <row r="62" spans="1:86" s="13" customFormat="1" ht="12" customHeight="1" x14ac:dyDescent="0.25">
      <c r="A62" s="173"/>
      <c r="B62" s="174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C1P</vt:lpstr>
      <vt:lpstr>PIB oferta anual</vt:lpstr>
      <vt:lpstr>PIB demanda anual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2026-04-12T01:59:09Z</dcterms:modified>
</cp:coreProperties>
</file>