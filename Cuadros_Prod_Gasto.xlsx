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20147EC0-8086-4C95-BFB1-545C24488B27}" xr6:coauthVersionLast="47" xr6:coauthVersionMax="47" xr10:uidLastSave="{00000000-0000-0000-0000-000000000000}"/>
  <bookViews>
    <workbookView xWindow="-120" yWindow="-120" windowWidth="29040" windowHeight="15840" firstSheet="1" activeTab="5" xr2:uid="{A3B4AD7B-0ED6-4521-BD6B-44541A0DC533}"/>
  </bookViews>
  <sheets>
    <sheet name="C1P" sheetId="2" state="hidden" r:id="rId1"/>
    <sheet name="PIB oferta anual" sheetId="4" r:id="rId2"/>
    <sheet name="escenario 2 oferta" sheetId="9" r:id="rId3"/>
    <sheet name="PIB demanda anual" sheetId="6" r:id="rId4"/>
    <sheet name="escenario 2 gasto" sheetId="10" r:id="rId5"/>
    <sheet name="Supuestos Macro y Conciliacion" sheetId="7" r:id="rId6"/>
    <sheet name="C1G" sheetId="3" state="hidden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7" l="1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B17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B16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B15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B14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B13" i="7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C20" i="4"/>
  <c r="X27" i="9"/>
  <c r="Y27" i="9" s="1"/>
  <c r="V20" i="10"/>
  <c r="U20" i="10"/>
  <c r="W20" i="10" s="1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V19" i="10"/>
  <c r="X19" i="10" s="1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V18" i="10"/>
  <c r="U18" i="10"/>
  <c r="W18" i="10" s="1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V16" i="10"/>
  <c r="U16" i="10"/>
  <c r="W16" i="10" s="1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P12" i="10"/>
  <c r="N12" i="10"/>
  <c r="M12" i="10"/>
  <c r="L12" i="10"/>
  <c r="K12" i="10"/>
  <c r="J12" i="10"/>
  <c r="I12" i="10"/>
  <c r="H12" i="10"/>
  <c r="V11" i="10"/>
  <c r="V12" i="10" s="1"/>
  <c r="U11" i="10"/>
  <c r="U12" i="10" s="1"/>
  <c r="T11" i="10"/>
  <c r="T12" i="10" s="1"/>
  <c r="S11" i="10"/>
  <c r="S12" i="10" s="1"/>
  <c r="R11" i="10"/>
  <c r="R12" i="10" s="1"/>
  <c r="Q11" i="10"/>
  <c r="Q12" i="10" s="1"/>
  <c r="P11" i="10"/>
  <c r="O11" i="10"/>
  <c r="O12" i="10" s="1"/>
  <c r="N11" i="10"/>
  <c r="M11" i="10"/>
  <c r="L11" i="10"/>
  <c r="K11" i="10"/>
  <c r="J11" i="10"/>
  <c r="I11" i="10"/>
  <c r="H11" i="10"/>
  <c r="G11" i="10"/>
  <c r="G12" i="10" s="1"/>
  <c r="F11" i="10"/>
  <c r="F12" i="10" s="1"/>
  <c r="E11" i="10"/>
  <c r="E12" i="10" s="1"/>
  <c r="D11" i="10"/>
  <c r="D12" i="10" s="1"/>
  <c r="C11" i="10"/>
  <c r="C12" i="10" s="1"/>
  <c r="B11" i="10"/>
  <c r="V38" i="9"/>
  <c r="U38" i="9"/>
  <c r="W38" i="9" s="1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V37" i="9"/>
  <c r="X37" i="9" s="1"/>
  <c r="U37" i="9"/>
  <c r="W37" i="9" s="1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V36" i="9"/>
  <c r="U36" i="9"/>
  <c r="W36" i="9" s="1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V34" i="9"/>
  <c r="U34" i="9"/>
  <c r="W34" i="9" s="1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W33" i="9"/>
  <c r="V33" i="9"/>
  <c r="X33" i="9" s="1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V32" i="9"/>
  <c r="W32" i="9" s="1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V31" i="9"/>
  <c r="U31" i="9"/>
  <c r="W31" i="9" s="1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V30" i="9"/>
  <c r="U30" i="9"/>
  <c r="W30" i="9" s="1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V29" i="9"/>
  <c r="U29" i="9"/>
  <c r="W29" i="9" s="1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V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V26" i="9"/>
  <c r="U26" i="9"/>
  <c r="W26" i="9" s="1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V20" i="9"/>
  <c r="U20" i="9"/>
  <c r="I20" i="9"/>
  <c r="H20" i="9"/>
  <c r="G20" i="9"/>
  <c r="F20" i="9"/>
  <c r="E20" i="9"/>
  <c r="V19" i="9"/>
  <c r="U19" i="9"/>
  <c r="T19" i="9"/>
  <c r="S19" i="9"/>
  <c r="T20" i="9" s="1"/>
  <c r="R19" i="9"/>
  <c r="R20" i="9" s="1"/>
  <c r="Q19" i="9"/>
  <c r="Q20" i="9" s="1"/>
  <c r="P19" i="9"/>
  <c r="P20" i="9" s="1"/>
  <c r="O19" i="9"/>
  <c r="O20" i="9" s="1"/>
  <c r="N19" i="9"/>
  <c r="N20" i="9" s="1"/>
  <c r="M19" i="9"/>
  <c r="M20" i="9" s="1"/>
  <c r="L19" i="9"/>
  <c r="L20" i="9" s="1"/>
  <c r="K19" i="9"/>
  <c r="K20" i="9" s="1"/>
  <c r="J19" i="9"/>
  <c r="J20" i="9" s="1"/>
  <c r="I19" i="9"/>
  <c r="H19" i="9"/>
  <c r="G19" i="9"/>
  <c r="F19" i="9"/>
  <c r="E19" i="9"/>
  <c r="D19" i="9"/>
  <c r="C19" i="9"/>
  <c r="D20" i="9" s="1"/>
  <c r="B19" i="9"/>
  <c r="W15" i="9"/>
  <c r="W13" i="9"/>
  <c r="X13" i="9" s="1"/>
  <c r="K6" i="7"/>
  <c r="K7" i="7" s="1"/>
  <c r="L6" i="7"/>
  <c r="L7" i="7" s="1"/>
  <c r="N6" i="7"/>
  <c r="N8" i="7" s="1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B5" i="7"/>
  <c r="C4" i="7"/>
  <c r="C6" i="7" s="1"/>
  <c r="D4" i="7"/>
  <c r="D6" i="7" s="1"/>
  <c r="E4" i="7"/>
  <c r="E6" i="7" s="1"/>
  <c r="F4" i="7"/>
  <c r="F6" i="7" s="1"/>
  <c r="G4" i="7"/>
  <c r="G6" i="7" s="1"/>
  <c r="H4" i="7"/>
  <c r="H6" i="7" s="1"/>
  <c r="I4" i="7"/>
  <c r="I6" i="7" s="1"/>
  <c r="J4" i="7"/>
  <c r="J6" i="7" s="1"/>
  <c r="K4" i="7"/>
  <c r="L4" i="7"/>
  <c r="M4" i="7"/>
  <c r="M6" i="7" s="1"/>
  <c r="N4" i="7"/>
  <c r="O4" i="7"/>
  <c r="O6" i="7" s="1"/>
  <c r="P4" i="7"/>
  <c r="P6" i="7" s="1"/>
  <c r="Q4" i="7"/>
  <c r="Q6" i="7" s="1"/>
  <c r="R4" i="7"/>
  <c r="R6" i="7" s="1"/>
  <c r="S4" i="7"/>
  <c r="S6" i="7" s="1"/>
  <c r="T4" i="7"/>
  <c r="T6" i="7" s="1"/>
  <c r="U4" i="7"/>
  <c r="U6" i="7" s="1"/>
  <c r="V4" i="7"/>
  <c r="V6" i="7" s="1"/>
  <c r="W4" i="7"/>
  <c r="W6" i="7" s="1"/>
  <c r="X4" i="7"/>
  <c r="Y4" i="7"/>
  <c r="Z4" i="7"/>
  <c r="AA4" i="7"/>
  <c r="B4" i="7"/>
  <c r="B6" i="7" s="1"/>
  <c r="W12" i="6"/>
  <c r="X10" i="6"/>
  <c r="Y10" i="6"/>
  <c r="Z10" i="6" s="1"/>
  <c r="AA10" i="6" s="1"/>
  <c r="X9" i="6"/>
  <c r="Y9" i="6" s="1"/>
  <c r="Z9" i="6" s="1"/>
  <c r="AA9" i="6" s="1"/>
  <c r="X8" i="6"/>
  <c r="Y8" i="6" s="1"/>
  <c r="Z8" i="6" s="1"/>
  <c r="AA8" i="6" s="1"/>
  <c r="X7" i="6"/>
  <c r="Y7" i="6" s="1"/>
  <c r="Z7" i="6" s="1"/>
  <c r="X6" i="6"/>
  <c r="Y6" i="6" s="1"/>
  <c r="W7" i="6"/>
  <c r="W8" i="6"/>
  <c r="W9" i="6"/>
  <c r="W10" i="6"/>
  <c r="W6" i="6"/>
  <c r="W18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W20" i="6" s="1"/>
  <c r="V20" i="6"/>
  <c r="X20" i="6" s="1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W19" i="6" s="1"/>
  <c r="V19" i="6"/>
  <c r="X19" i="6" s="1"/>
  <c r="Y19" i="6" s="1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X18" i="6" s="1"/>
  <c r="Y18" i="6" s="1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W17" i="6" s="1"/>
  <c r="V17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C17" i="6"/>
  <c r="C18" i="6"/>
  <c r="C19" i="6"/>
  <c r="C20" i="6"/>
  <c r="C16" i="6"/>
  <c r="W14" i="4"/>
  <c r="X14" i="4" s="1"/>
  <c r="W15" i="4"/>
  <c r="X15" i="4" s="1"/>
  <c r="W16" i="4"/>
  <c r="X16" i="4" s="1"/>
  <c r="X34" i="4"/>
  <c r="X35" i="4"/>
  <c r="W34" i="4"/>
  <c r="Y34" i="4" s="1"/>
  <c r="W35" i="4"/>
  <c r="Y35" i="4" s="1"/>
  <c r="W36" i="4"/>
  <c r="Y36" i="4" s="1"/>
  <c r="W37" i="4"/>
  <c r="W17" i="4" s="1"/>
  <c r="X17" i="4" s="1"/>
  <c r="W38" i="4"/>
  <c r="W18" i="4" s="1"/>
  <c r="X18" i="4" s="1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X38" i="4" s="1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X37" i="4" s="1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X36" i="4" s="1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J33" i="4"/>
  <c r="K33" i="4"/>
  <c r="L33" i="4"/>
  <c r="M33" i="4"/>
  <c r="N33" i="4"/>
  <c r="O33" i="4"/>
  <c r="P33" i="4"/>
  <c r="Q33" i="4"/>
  <c r="R33" i="4"/>
  <c r="S33" i="4"/>
  <c r="T33" i="4"/>
  <c r="U33" i="4"/>
  <c r="W33" i="4" s="1"/>
  <c r="V33" i="4"/>
  <c r="X33" i="4" s="1"/>
  <c r="J32" i="4"/>
  <c r="K32" i="4"/>
  <c r="L32" i="4"/>
  <c r="M32" i="4"/>
  <c r="N32" i="4"/>
  <c r="O32" i="4"/>
  <c r="P32" i="4"/>
  <c r="Q32" i="4"/>
  <c r="R32" i="4"/>
  <c r="S32" i="4"/>
  <c r="T32" i="4"/>
  <c r="U32" i="4"/>
  <c r="W32" i="4" s="1"/>
  <c r="V32" i="4"/>
  <c r="X32" i="4" s="1"/>
  <c r="J31" i="4"/>
  <c r="K31" i="4"/>
  <c r="L31" i="4"/>
  <c r="M31" i="4"/>
  <c r="N31" i="4"/>
  <c r="O31" i="4"/>
  <c r="P31" i="4"/>
  <c r="Q31" i="4"/>
  <c r="R31" i="4"/>
  <c r="S31" i="4"/>
  <c r="T31" i="4"/>
  <c r="U31" i="4"/>
  <c r="W31" i="4" s="1"/>
  <c r="V31" i="4"/>
  <c r="J30" i="4"/>
  <c r="K30" i="4"/>
  <c r="L30" i="4"/>
  <c r="M30" i="4"/>
  <c r="N30" i="4"/>
  <c r="O30" i="4"/>
  <c r="P30" i="4"/>
  <c r="Q30" i="4"/>
  <c r="R30" i="4"/>
  <c r="S30" i="4"/>
  <c r="T30" i="4"/>
  <c r="U30" i="4"/>
  <c r="W30" i="4" s="1"/>
  <c r="V30" i="4"/>
  <c r="X30" i="4" s="1"/>
  <c r="J29" i="4"/>
  <c r="K29" i="4"/>
  <c r="L29" i="4"/>
  <c r="M29" i="4"/>
  <c r="N29" i="4"/>
  <c r="O29" i="4"/>
  <c r="P29" i="4"/>
  <c r="Q29" i="4"/>
  <c r="R29" i="4"/>
  <c r="S29" i="4"/>
  <c r="T29" i="4"/>
  <c r="U29" i="4"/>
  <c r="W29" i="4" s="1"/>
  <c r="V29" i="4"/>
  <c r="J28" i="4"/>
  <c r="K28" i="4"/>
  <c r="L28" i="4"/>
  <c r="M28" i="4"/>
  <c r="N28" i="4"/>
  <c r="O28" i="4"/>
  <c r="P28" i="4"/>
  <c r="Q28" i="4"/>
  <c r="R28" i="4"/>
  <c r="S28" i="4"/>
  <c r="T28" i="4"/>
  <c r="U28" i="4"/>
  <c r="W28" i="4" s="1"/>
  <c r="V28" i="4"/>
  <c r="X28" i="4" s="1"/>
  <c r="J27" i="4"/>
  <c r="K27" i="4"/>
  <c r="L27" i="4"/>
  <c r="M27" i="4"/>
  <c r="N27" i="4"/>
  <c r="O27" i="4"/>
  <c r="P27" i="4"/>
  <c r="Q27" i="4"/>
  <c r="R27" i="4"/>
  <c r="S27" i="4"/>
  <c r="T27" i="4"/>
  <c r="U27" i="4"/>
  <c r="W27" i="4" s="1"/>
  <c r="V27" i="4"/>
  <c r="X27" i="4" s="1"/>
  <c r="I27" i="4"/>
  <c r="I28" i="4"/>
  <c r="I29" i="4"/>
  <c r="I30" i="4"/>
  <c r="I31" i="4"/>
  <c r="I32" i="4"/>
  <c r="I33" i="4"/>
  <c r="I34" i="4"/>
  <c r="I35" i="4"/>
  <c r="I36" i="4"/>
  <c r="I37" i="4"/>
  <c r="I38" i="4"/>
  <c r="H27" i="4"/>
  <c r="H28" i="4"/>
  <c r="H29" i="4"/>
  <c r="H30" i="4"/>
  <c r="H31" i="4"/>
  <c r="H32" i="4"/>
  <c r="H33" i="4"/>
  <c r="H34" i="4"/>
  <c r="H35" i="4"/>
  <c r="H36" i="4"/>
  <c r="H37" i="4"/>
  <c r="H38" i="4"/>
  <c r="G27" i="4"/>
  <c r="G28" i="4"/>
  <c r="G29" i="4"/>
  <c r="G30" i="4"/>
  <c r="G31" i="4"/>
  <c r="G32" i="4"/>
  <c r="G33" i="4"/>
  <c r="G34" i="4"/>
  <c r="G35" i="4"/>
  <c r="G36" i="4"/>
  <c r="G37" i="4"/>
  <c r="G38" i="4"/>
  <c r="F27" i="4"/>
  <c r="F28" i="4"/>
  <c r="F29" i="4"/>
  <c r="F30" i="4"/>
  <c r="F31" i="4"/>
  <c r="F32" i="4"/>
  <c r="F33" i="4"/>
  <c r="F34" i="4"/>
  <c r="F35" i="4"/>
  <c r="F36" i="4"/>
  <c r="F37" i="4"/>
  <c r="F38" i="4"/>
  <c r="E27" i="4"/>
  <c r="E28" i="4"/>
  <c r="E29" i="4"/>
  <c r="E30" i="4"/>
  <c r="E31" i="4"/>
  <c r="E32" i="4"/>
  <c r="E33" i="4"/>
  <c r="E34" i="4"/>
  <c r="E35" i="4"/>
  <c r="E36" i="4"/>
  <c r="E37" i="4"/>
  <c r="E38" i="4"/>
  <c r="D27" i="4"/>
  <c r="D28" i="4"/>
  <c r="D29" i="4"/>
  <c r="D30" i="4"/>
  <c r="D31" i="4"/>
  <c r="D32" i="4"/>
  <c r="D33" i="4"/>
  <c r="D34" i="4"/>
  <c r="D35" i="4"/>
  <c r="D36" i="4"/>
  <c r="D37" i="4"/>
  <c r="D38" i="4"/>
  <c r="C27" i="4"/>
  <c r="C28" i="4"/>
  <c r="C29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W26" i="4" s="1"/>
  <c r="W6" i="4" s="1"/>
  <c r="X6" i="4" s="1"/>
  <c r="Y6" i="4" s="1"/>
  <c r="V26" i="4"/>
  <c r="X26" i="4" s="1"/>
  <c r="Y26" i="4" s="1"/>
  <c r="C26" i="4"/>
  <c r="C30" i="4"/>
  <c r="C31" i="4"/>
  <c r="C32" i="4"/>
  <c r="C33" i="4"/>
  <c r="C34" i="4"/>
  <c r="C35" i="4"/>
  <c r="C36" i="4"/>
  <c r="C37" i="4"/>
  <c r="C38" i="4"/>
  <c r="W11" i="6"/>
  <c r="X11" i="6"/>
  <c r="X12" i="6" s="1"/>
  <c r="K12" i="6"/>
  <c r="L12" i="6"/>
  <c r="M12" i="6"/>
  <c r="N12" i="6"/>
  <c r="O12" i="6"/>
  <c r="B11" i="6"/>
  <c r="C11" i="6"/>
  <c r="C12" i="6" s="1"/>
  <c r="D11" i="6"/>
  <c r="D12" i="6" s="1"/>
  <c r="E11" i="6"/>
  <c r="E12" i="6" s="1"/>
  <c r="F11" i="6"/>
  <c r="F12" i="6" s="1"/>
  <c r="G11" i="6"/>
  <c r="G12" i="6" s="1"/>
  <c r="H11" i="6"/>
  <c r="H12" i="6" s="1"/>
  <c r="I11" i="6"/>
  <c r="J12" i="6" s="1"/>
  <c r="J11" i="6"/>
  <c r="K11" i="6"/>
  <c r="L11" i="6"/>
  <c r="M11" i="6"/>
  <c r="N11" i="6"/>
  <c r="O11" i="6"/>
  <c r="P11" i="6"/>
  <c r="P12" i="6" s="1"/>
  <c r="Q11" i="6"/>
  <c r="Q12" i="6" s="1"/>
  <c r="R11" i="6"/>
  <c r="R12" i="6" s="1"/>
  <c r="S11" i="6"/>
  <c r="S12" i="6" s="1"/>
  <c r="V11" i="6"/>
  <c r="Z27" i="9" l="1"/>
  <c r="X5" i="7"/>
  <c r="X6" i="7"/>
  <c r="X7" i="7" s="1"/>
  <c r="Q8" i="7"/>
  <c r="Q7" i="7"/>
  <c r="B8" i="7"/>
  <c r="B7" i="7"/>
  <c r="M8" i="7"/>
  <c r="M7" i="7"/>
  <c r="J7" i="7"/>
  <c r="J8" i="7"/>
  <c r="R8" i="7"/>
  <c r="R7" i="7"/>
  <c r="O8" i="7"/>
  <c r="O7" i="7"/>
  <c r="I7" i="7"/>
  <c r="I8" i="7"/>
  <c r="X8" i="7"/>
  <c r="H7" i="7"/>
  <c r="H8" i="7"/>
  <c r="W7" i="7"/>
  <c r="W8" i="7"/>
  <c r="G7" i="7"/>
  <c r="G8" i="7"/>
  <c r="V8" i="7"/>
  <c r="V7" i="7"/>
  <c r="F8" i="7"/>
  <c r="F7" i="7"/>
  <c r="U8" i="7"/>
  <c r="U7" i="7"/>
  <c r="E8" i="7"/>
  <c r="E7" i="7"/>
  <c r="P8" i="7"/>
  <c r="P7" i="7"/>
  <c r="T7" i="7"/>
  <c r="T8" i="7"/>
  <c r="D8" i="7"/>
  <c r="D7" i="7"/>
  <c r="S8" i="7"/>
  <c r="S7" i="7"/>
  <c r="C8" i="7"/>
  <c r="C7" i="7"/>
  <c r="L8" i="7"/>
  <c r="K8" i="7"/>
  <c r="N7" i="7"/>
  <c r="W8" i="10"/>
  <c r="X18" i="10"/>
  <c r="W9" i="10"/>
  <c r="X9" i="10" s="1"/>
  <c r="Y9" i="10" s="1"/>
  <c r="Y19" i="10"/>
  <c r="Z19" i="10" s="1"/>
  <c r="W6" i="10"/>
  <c r="W10" i="10"/>
  <c r="X16" i="10"/>
  <c r="Y16" i="10" s="1"/>
  <c r="X20" i="10"/>
  <c r="Y20" i="10" s="1"/>
  <c r="W17" i="10"/>
  <c r="W11" i="9"/>
  <c r="W12" i="9"/>
  <c r="X32" i="9"/>
  <c r="W16" i="9"/>
  <c r="X36" i="9"/>
  <c r="Y36" i="9" s="1"/>
  <c r="W9" i="9"/>
  <c r="X9" i="9" s="1"/>
  <c r="X29" i="9"/>
  <c r="Y33" i="9"/>
  <c r="W17" i="9"/>
  <c r="X17" i="9" s="1"/>
  <c r="Y17" i="9" s="1"/>
  <c r="Y37" i="9"/>
  <c r="W7" i="9"/>
  <c r="Z37" i="9"/>
  <c r="W10" i="9"/>
  <c r="Y30" i="9"/>
  <c r="X30" i="9"/>
  <c r="X31" i="9"/>
  <c r="X15" i="9"/>
  <c r="W14" i="9"/>
  <c r="X14" i="9" s="1"/>
  <c r="Y14" i="9" s="1"/>
  <c r="Y34" i="9"/>
  <c r="W6" i="9"/>
  <c r="X26" i="9"/>
  <c r="Y26" i="9"/>
  <c r="X34" i="9"/>
  <c r="W18" i="9"/>
  <c r="X38" i="9"/>
  <c r="W28" i="9"/>
  <c r="X28" i="9" s="1"/>
  <c r="X35" i="9"/>
  <c r="C20" i="9"/>
  <c r="S20" i="9"/>
  <c r="Z35" i="4"/>
  <c r="AA35" i="4" s="1"/>
  <c r="Z34" i="4"/>
  <c r="AA34" i="4" s="1"/>
  <c r="W9" i="4"/>
  <c r="X9" i="4" s="1"/>
  <c r="Y29" i="4"/>
  <c r="Y16" i="4"/>
  <c r="Z16" i="4" s="1"/>
  <c r="Y15" i="4"/>
  <c r="Z15" i="4" s="1"/>
  <c r="Y18" i="4"/>
  <c r="W7" i="4"/>
  <c r="X7" i="4" s="1"/>
  <c r="Y7" i="4" s="1"/>
  <c r="Y27" i="4"/>
  <c r="Y14" i="4"/>
  <c r="Z36" i="4"/>
  <c r="AA36" i="4" s="1"/>
  <c r="Y33" i="4"/>
  <c r="Z33" i="4" s="1"/>
  <c r="W13" i="4"/>
  <c r="X13" i="4" s="1"/>
  <c r="Y13" i="4" s="1"/>
  <c r="W11" i="4"/>
  <c r="X31" i="4"/>
  <c r="Y31" i="4"/>
  <c r="Y32" i="4"/>
  <c r="Z32" i="4" s="1"/>
  <c r="W12" i="4"/>
  <c r="X12" i="4" s="1"/>
  <c r="Y12" i="4" s="1"/>
  <c r="Y30" i="4"/>
  <c r="W10" i="4"/>
  <c r="X10" i="4" s="1"/>
  <c r="Z37" i="4"/>
  <c r="Z30" i="4"/>
  <c r="Z28" i="4"/>
  <c r="W8" i="4"/>
  <c r="X8" i="4" s="1"/>
  <c r="Y8" i="4" s="1"/>
  <c r="Z8" i="4" s="1"/>
  <c r="Y28" i="4"/>
  <c r="X29" i="4"/>
  <c r="Y38" i="4"/>
  <c r="Y37" i="4"/>
  <c r="Y11" i="6"/>
  <c r="Z6" i="6"/>
  <c r="Y20" i="6"/>
  <c r="Z20" i="6" s="1"/>
  <c r="AA20" i="6" s="1"/>
  <c r="W16" i="6"/>
  <c r="X16" i="6" s="1"/>
  <c r="I12" i="6"/>
  <c r="Z19" i="6"/>
  <c r="AA19" i="6" s="1"/>
  <c r="Z18" i="6"/>
  <c r="AA18" i="6" s="1"/>
  <c r="AA17" i="6"/>
  <c r="AA7" i="6" s="1"/>
  <c r="Z26" i="4"/>
  <c r="AA26" i="4" s="1"/>
  <c r="U11" i="6"/>
  <c r="U12" i="6" s="1"/>
  <c r="T11" i="6"/>
  <c r="T12" i="6" s="1"/>
  <c r="H11" i="2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B19" i="4"/>
  <c r="CF5" i="2"/>
  <c r="I3" i="2"/>
  <c r="H3" i="2"/>
  <c r="AA27" i="9" l="1"/>
  <c r="Y12" i="6"/>
  <c r="Y5" i="7"/>
  <c r="Y6" i="7" s="1"/>
  <c r="X10" i="10"/>
  <c r="AA19" i="10"/>
  <c r="Z9" i="10"/>
  <c r="AA9" i="10" s="1"/>
  <c r="Z20" i="10"/>
  <c r="AA20" i="10" s="1"/>
  <c r="X6" i="10"/>
  <c r="Y6" i="10" s="1"/>
  <c r="X8" i="10"/>
  <c r="W7" i="10"/>
  <c r="W11" i="10" s="1"/>
  <c r="W12" i="10" s="1"/>
  <c r="Y18" i="10"/>
  <c r="Z16" i="10"/>
  <c r="AA16" i="10" s="1"/>
  <c r="AA17" i="10"/>
  <c r="X10" i="9"/>
  <c r="Y10" i="9" s="1"/>
  <c r="X16" i="9"/>
  <c r="Y16" i="9" s="1"/>
  <c r="Z16" i="9" s="1"/>
  <c r="Z30" i="9"/>
  <c r="AA30" i="9" s="1"/>
  <c r="Z32" i="9"/>
  <c r="Z38" i="9"/>
  <c r="X12" i="9"/>
  <c r="Y12" i="9" s="1"/>
  <c r="Z12" i="9" s="1"/>
  <c r="Z33" i="9"/>
  <c r="AA33" i="9" s="1"/>
  <c r="Y29" i="9"/>
  <c r="X18" i="9"/>
  <c r="Y32" i="9"/>
  <c r="X7" i="9"/>
  <c r="Y28" i="9"/>
  <c r="W8" i="9"/>
  <c r="X8" i="9" s="1"/>
  <c r="Y8" i="9" s="1"/>
  <c r="Y38" i="9"/>
  <c r="Z34" i="9"/>
  <c r="Z14" i="9" s="1"/>
  <c r="AA14" i="9" s="1"/>
  <c r="AA37" i="9"/>
  <c r="Y35" i="9"/>
  <c r="Y15" i="9" s="1"/>
  <c r="AA34" i="9"/>
  <c r="Z31" i="9"/>
  <c r="Y13" i="9"/>
  <c r="Z13" i="9" s="1"/>
  <c r="Z17" i="9"/>
  <c r="X11" i="9"/>
  <c r="X6" i="9"/>
  <c r="Z36" i="9"/>
  <c r="AA36" i="9" s="1"/>
  <c r="Z26" i="9"/>
  <c r="AA26" i="9" s="1"/>
  <c r="Y31" i="9"/>
  <c r="AA30" i="4"/>
  <c r="Z12" i="4"/>
  <c r="Y10" i="4"/>
  <c r="Z10" i="4" s="1"/>
  <c r="AA10" i="4" s="1"/>
  <c r="Y9" i="4"/>
  <c r="Z9" i="4" s="1"/>
  <c r="AA15" i="4"/>
  <c r="AA29" i="4"/>
  <c r="Z31" i="4"/>
  <c r="AA31" i="4" s="1"/>
  <c r="X11" i="4"/>
  <c r="Y11" i="4" s="1"/>
  <c r="Z11" i="4" s="1"/>
  <c r="AA27" i="4"/>
  <c r="Z6" i="4"/>
  <c r="AA6" i="4" s="1"/>
  <c r="AA37" i="4"/>
  <c r="Z13" i="4"/>
  <c r="AA13" i="4" s="1"/>
  <c r="AA38" i="4"/>
  <c r="AA33" i="4"/>
  <c r="Z29" i="4"/>
  <c r="AA32" i="4"/>
  <c r="Z27" i="4"/>
  <c r="Z7" i="4" s="1"/>
  <c r="AA7" i="4" s="1"/>
  <c r="Z38" i="4"/>
  <c r="Z18" i="4" s="1"/>
  <c r="AA18" i="4" s="1"/>
  <c r="AA16" i="4"/>
  <c r="AA28" i="4"/>
  <c r="AA8" i="4" s="1"/>
  <c r="Z14" i="4"/>
  <c r="AA14" i="4" s="1"/>
  <c r="Y17" i="4"/>
  <c r="Z17" i="4" s="1"/>
  <c r="Z11" i="6"/>
  <c r="AA6" i="6"/>
  <c r="AA11" i="6" s="1"/>
  <c r="Y16" i="6"/>
  <c r="Z16" i="6"/>
  <c r="AA16" i="6" s="1"/>
  <c r="V12" i="6"/>
  <c r="Y7" i="9" l="1"/>
  <c r="Y7" i="7"/>
  <c r="Y8" i="7"/>
  <c r="Y8" i="10"/>
  <c r="Y10" i="10"/>
  <c r="Z6" i="10"/>
  <c r="AA6" i="10" s="1"/>
  <c r="Z18" i="10"/>
  <c r="AA18" i="10" s="1"/>
  <c r="X7" i="10"/>
  <c r="Y7" i="10" s="1"/>
  <c r="Z7" i="10" s="1"/>
  <c r="AA7" i="10" s="1"/>
  <c r="AA16" i="9"/>
  <c r="AA13" i="9"/>
  <c r="AA31" i="9"/>
  <c r="Z10" i="9"/>
  <c r="AA10" i="9" s="1"/>
  <c r="W19" i="9"/>
  <c r="Z29" i="9"/>
  <c r="AA29" i="9" s="1"/>
  <c r="X19" i="9"/>
  <c r="X13" i="7" s="1"/>
  <c r="X15" i="7" s="1"/>
  <c r="Y6" i="9"/>
  <c r="AA12" i="9"/>
  <c r="AA28" i="9"/>
  <c r="Z7" i="9"/>
  <c r="Y11" i="9"/>
  <c r="Z11" i="9" s="1"/>
  <c r="AA11" i="9" s="1"/>
  <c r="AA35" i="9"/>
  <c r="AA38" i="9"/>
  <c r="Y9" i="9"/>
  <c r="AA17" i="9"/>
  <c r="Y18" i="9"/>
  <c r="Z18" i="9" s="1"/>
  <c r="AA18" i="9" s="1"/>
  <c r="AA32" i="9"/>
  <c r="Z35" i="9"/>
  <c r="Z15" i="9" s="1"/>
  <c r="AA15" i="9" s="1"/>
  <c r="Z28" i="9"/>
  <c r="Z8" i="9" s="1"/>
  <c r="AA8" i="9" s="1"/>
  <c r="Z5" i="7"/>
  <c r="Z6" i="7" s="1"/>
  <c r="Z12" i="6"/>
  <c r="AA12" i="6"/>
  <c r="AA5" i="7"/>
  <c r="AA6" i="7" s="1"/>
  <c r="AA12" i="4"/>
  <c r="AA17" i="4"/>
  <c r="AA11" i="4"/>
  <c r="AA9" i="4"/>
  <c r="X17" i="7" l="1"/>
  <c r="X16" i="7"/>
  <c r="W20" i="9"/>
  <c r="W13" i="7"/>
  <c r="W15" i="7" s="1"/>
  <c r="X20" i="9"/>
  <c r="Z10" i="10"/>
  <c r="Y11" i="10"/>
  <c r="Z8" i="10"/>
  <c r="AA8" i="10" s="1"/>
  <c r="X11" i="10"/>
  <c r="X12" i="10" s="1"/>
  <c r="Y19" i="9"/>
  <c r="Z6" i="9"/>
  <c r="Z9" i="9"/>
  <c r="AA9" i="9" s="1"/>
  <c r="AA7" i="9"/>
  <c r="AA7" i="7"/>
  <c r="AA8" i="7"/>
  <c r="Z7" i="7"/>
  <c r="Z8" i="7"/>
  <c r="W19" i="4"/>
  <c r="Y20" i="9" l="1"/>
  <c r="Y13" i="7"/>
  <c r="Y15" i="7" s="1"/>
  <c r="W17" i="7"/>
  <c r="W16" i="7"/>
  <c r="Y12" i="10"/>
  <c r="AA10" i="10"/>
  <c r="AA11" i="10" s="1"/>
  <c r="Z11" i="10"/>
  <c r="Z12" i="10" s="1"/>
  <c r="AA6" i="9"/>
  <c r="AA19" i="9" s="1"/>
  <c r="AA13" i="7" s="1"/>
  <c r="AA15" i="7" s="1"/>
  <c r="Z19" i="9"/>
  <c r="X19" i="4"/>
  <c r="AA16" i="7" l="1"/>
  <c r="AA17" i="7"/>
  <c r="Y16" i="7"/>
  <c r="Y17" i="7"/>
  <c r="Z20" i="9"/>
  <c r="Z13" i="7"/>
  <c r="Z15" i="7" s="1"/>
  <c r="AA20" i="9"/>
  <c r="AA12" i="10"/>
  <c r="Y19" i="4"/>
  <c r="Z16" i="7" l="1"/>
  <c r="Z17" i="7"/>
  <c r="AA19" i="4"/>
  <c r="Z19" i="4"/>
</calcChain>
</file>

<file path=xl/sharedStrings.xml><?xml version="1.0" encoding="utf-8"?>
<sst xmlns="http://schemas.openxmlformats.org/spreadsheetml/2006/main" count="848" uniqueCount="101">
  <si>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</si>
  <si>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</si>
  <si>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</si>
  <si>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</si>
  <si>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</si>
  <si>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</si>
  <si>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</si>
  <si>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</si>
  <si>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</si>
  <si>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</si>
  <si>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</si>
  <si>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</si>
  <si>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</si>
  <si>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</si>
  <si>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</si>
  <si>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</si>
  <si>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</si>
  <si>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</si>
  <si>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</si>
  <si>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</si>
  <si>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</si>
  <si>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</si>
  <si>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</si>
  <si>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</si>
  <si>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</si>
  <si>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</si>
  <si>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</si>
  <si>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</si>
  <si>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</si>
  <si>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</si>
  <si>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</si>
  <si>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</si>
  <si>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</si>
  <si>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</si>
  <si>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</si>
  <si>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</si>
  <si>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</si>
  <si>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</si>
  <si>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</si>
  <si>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</si>
  <si>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</si>
  <si>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</si>
  <si>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</si>
  <si>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</si>
  <si>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</si>
  <si>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</si>
  <si>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</si>
  <si>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</si>
  <si>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</si>
  <si>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</si>
  <si>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</si>
  <si>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</si>
  <si>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</si>
  <si>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</si>
  <si>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</si>
  <si>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</si>
  <si>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</si>
  <si>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</si>
  <si>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</si>
  <si>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</si>
  <si>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</si>
  <si>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</si>
  <si>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</si>
  <si>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</si>
  <si>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</si>
  <si>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</si>
  <si>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</si>
  <si>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</si>
  <si>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</si>
  <si>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</si>
  <si>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</si>
  <si>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</si>
  <si>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</si>
  <si>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</si>
  <si>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</si>
  <si>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PROYECCIÓN OFERTA ANUAL</t>
  </si>
  <si>
    <t>Tasa de crecimiento Inercial</t>
  </si>
  <si>
    <t>PIB</t>
  </si>
  <si>
    <t>Suma Agregada  PIB por demanda anual</t>
  </si>
  <si>
    <r>
      <t>Gasto de consumo final individual de los hogares; gasto de consumo final de las ISFLH</t>
    </r>
    <r>
      <rPr>
        <b/>
        <vertAlign val="superscript"/>
        <sz val="9"/>
        <color theme="1"/>
        <rFont val="Segoe UI"/>
        <family val="2"/>
      </rPr>
      <t>2</t>
    </r>
  </si>
  <si>
    <t>Tasa de crecimiento</t>
  </si>
  <si>
    <t>PROYECCIÓN DEMANDA ANUAL</t>
  </si>
  <si>
    <t>Tasa de Crecimiento Inercial</t>
  </si>
  <si>
    <t>Tasas de Crecimiento Anual por Variable Desagregada</t>
  </si>
  <si>
    <t>Tasa de Crecimiento por Variable Desagregada</t>
  </si>
  <si>
    <t>Tasa de Crecimiento</t>
  </si>
  <si>
    <t>Suma Agregada por Oferta Annual</t>
  </si>
  <si>
    <t>Año</t>
  </si>
  <si>
    <t>Delta</t>
  </si>
  <si>
    <t>PIB Oferta</t>
  </si>
  <si>
    <t>PIB Demanda</t>
  </si>
  <si>
    <t>Para ajustar la diferencia del 2% del 2029 se asume que dado a la inflación del país, el Estado asume más gasto para proteger el bolsillo del ciudadano mediante subsidios.</t>
  </si>
  <si>
    <t>Se usa un margen de error de +-1%</t>
  </si>
  <si>
    <t>% Diferencia Oferta</t>
  </si>
  <si>
    <t>% Diferencia Demanda</t>
  </si>
  <si>
    <t>ESCENARIO EXPORTACIÓN DE PETRÓLEO - ESTRECHO DE ORMUZ CERRADO</t>
  </si>
  <si>
    <t>Subida en la exportación petrolera</t>
  </si>
  <si>
    <t>Verificación  Delta del PIB escenario 1</t>
  </si>
  <si>
    <t>Verificación  Delta del PIB escenario 2</t>
  </si>
  <si>
    <t>Con una subida del 12% de la explotación minera y un 5% de las exportanciones del país en el escenario de un boom petrolero los PIB se mantienen dentro del margen de error</t>
  </si>
  <si>
    <t>Subida en exportación de petróleo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</si>
</sst>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  <numFmt numFmtId="174" formatCode="_-* #,##0_-;\-* #,##0_-;_-* &quot;-&quot;??_-;_-@_-"/>
    <numFmt numFmtId="180" formatCode="0.0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2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3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168" fontId="0" fillId="9" borderId="12" xfId="1" applyNumberFormat="1" applyFont="1" applyFill="1" applyBorder="1" applyAlignment="1">
      <alignment horizontal="center"/>
    </xf>
    <xf numFmtId="168" fontId="0" fillId="9" borderId="16" xfId="1" applyNumberFormat="1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3" fontId="0" fillId="11" borderId="0" xfId="4" applyFont="1" applyFill="1" applyBorder="1" applyAlignment="1">
      <alignment horizontal="center" vertical="center"/>
    </xf>
    <xf numFmtId="43" fontId="0" fillId="11" borderId="14" xfId="4" applyFont="1" applyFill="1" applyBorder="1" applyAlignment="1">
      <alignment horizontal="center" vertical="center"/>
    </xf>
    <xf numFmtId="43" fontId="0" fillId="11" borderId="10" xfId="4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20" xfId="0" applyBorder="1" applyAlignment="1">
      <alignment horizontal="center" wrapText="1"/>
    </xf>
    <xf numFmtId="0" fontId="2" fillId="12" borderId="14" xfId="0" applyFont="1" applyFill="1" applyBorder="1" applyAlignment="1">
      <alignment horizontal="center" vertical="center" wrapText="1"/>
    </xf>
    <xf numFmtId="0" fontId="2" fillId="12" borderId="21" xfId="0" applyFont="1" applyFill="1" applyBorder="1" applyAlignment="1">
      <alignment horizontal="center" vertical="center" wrapText="1"/>
    </xf>
    <xf numFmtId="0" fontId="2" fillId="12" borderId="18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 wrapText="1"/>
    </xf>
    <xf numFmtId="0" fontId="2" fillId="12" borderId="20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2" fillId="12" borderId="13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168" fontId="1" fillId="9" borderId="12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0" fillId="0" borderId="0" xfId="0" applyNumberFormat="1"/>
    <xf numFmtId="3" fontId="0" fillId="9" borderId="11" xfId="0" applyNumberFormat="1" applyFill="1" applyBorder="1" applyAlignment="1">
      <alignment horizontal="center" vertical="center"/>
    </xf>
    <xf numFmtId="3" fontId="0" fillId="9" borderId="17" xfId="0" applyNumberFormat="1" applyFill="1" applyBorder="1" applyAlignment="1">
      <alignment horizontal="center" vertical="center"/>
    </xf>
    <xf numFmtId="3" fontId="0" fillId="9" borderId="15" xfId="0" applyNumberFormat="1" applyFill="1" applyBorder="1" applyAlignment="1">
      <alignment horizontal="center" vertical="center"/>
    </xf>
    <xf numFmtId="3" fontId="0" fillId="10" borderId="11" xfId="0" applyNumberFormat="1" applyFill="1" applyBorder="1" applyAlignment="1">
      <alignment horizontal="center" vertical="center"/>
    </xf>
    <xf numFmtId="3" fontId="0" fillId="14" borderId="11" xfId="0" applyNumberFormat="1" applyFill="1" applyBorder="1" applyAlignment="1">
      <alignment horizontal="center" vertical="center"/>
    </xf>
    <xf numFmtId="3" fontId="0" fillId="14" borderId="17" xfId="0" applyNumberFormat="1" applyFill="1" applyBorder="1" applyAlignment="1">
      <alignment horizontal="center" vertical="center"/>
    </xf>
    <xf numFmtId="3" fontId="0" fillId="14" borderId="15" xfId="0" applyNumberFormat="1" applyFill="1" applyBorder="1" applyAlignment="1">
      <alignment horizontal="center" vertical="center"/>
    </xf>
    <xf numFmtId="0" fontId="24" fillId="0" borderId="0" xfId="0" applyFont="1"/>
    <xf numFmtId="0" fontId="26" fillId="8" borderId="2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3" fontId="0" fillId="9" borderId="0" xfId="0" applyNumberFormat="1" applyFill="1" applyBorder="1" applyAlignment="1">
      <alignment horizontal="center" vertical="center"/>
    </xf>
    <xf numFmtId="3" fontId="0" fillId="14" borderId="0" xfId="0" applyNumberFormat="1" applyFill="1" applyBorder="1" applyAlignment="1">
      <alignment horizontal="center" vertical="center"/>
    </xf>
    <xf numFmtId="3" fontId="0" fillId="9" borderId="10" xfId="0" applyNumberForma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center"/>
    </xf>
    <xf numFmtId="0" fontId="13" fillId="14" borderId="11" xfId="0" applyFont="1" applyFill="1" applyBorder="1" applyAlignment="1">
      <alignment horizontal="center"/>
    </xf>
    <xf numFmtId="3" fontId="0" fillId="9" borderId="21" xfId="0" applyNumberForma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 wrapText="1"/>
    </xf>
    <xf numFmtId="3" fontId="0" fillId="11" borderId="10" xfId="0" applyNumberForma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/>
    </xf>
    <xf numFmtId="3" fontId="0" fillId="10" borderId="0" xfId="0" applyNumberFormat="1" applyFill="1" applyBorder="1" applyAlignment="1">
      <alignment horizontal="center" vertical="center"/>
    </xf>
    <xf numFmtId="3" fontId="0" fillId="10" borderId="17" xfId="0" applyNumberFormat="1" applyFill="1" applyBorder="1" applyAlignment="1">
      <alignment horizontal="center" vertical="center"/>
    </xf>
    <xf numFmtId="3" fontId="0" fillId="10" borderId="15" xfId="0" applyNumberForma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/>
    </xf>
    <xf numFmtId="3" fontId="0" fillId="9" borderId="20" xfId="0" applyNumberFormat="1" applyFill="1" applyBorder="1" applyAlignment="1">
      <alignment horizontal="center" vertical="center"/>
    </xf>
    <xf numFmtId="3" fontId="0" fillId="9" borderId="12" xfId="0" applyNumberFormat="1" applyFill="1" applyBorder="1" applyAlignment="1">
      <alignment horizontal="center" vertical="center"/>
    </xf>
    <xf numFmtId="0" fontId="13" fillId="9" borderId="11" xfId="0" applyFont="1" applyFill="1" applyBorder="1" applyAlignment="1">
      <alignment horizontal="center"/>
    </xf>
    <xf numFmtId="3" fontId="0" fillId="0" borderId="0" xfId="0" applyNumberFormat="1" applyFill="1"/>
    <xf numFmtId="0" fontId="2" fillId="12" borderId="13" xfId="0" applyFont="1" applyFill="1" applyBorder="1" applyAlignment="1">
      <alignment horizontal="center" vertical="center"/>
    </xf>
    <xf numFmtId="0" fontId="2" fillId="12" borderId="22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/>
    </xf>
    <xf numFmtId="0" fontId="2" fillId="12" borderId="18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2" fillId="12" borderId="19" xfId="0" applyFont="1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 wrapText="1"/>
    </xf>
    <xf numFmtId="0" fontId="0" fillId="10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0" fillId="9" borderId="12" xfId="0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/>
    </xf>
    <xf numFmtId="0" fontId="24" fillId="8" borderId="23" xfId="0" applyFont="1" applyFill="1" applyBorder="1" applyAlignment="1">
      <alignment horizontal="center" vertical="center"/>
    </xf>
    <xf numFmtId="168" fontId="0" fillId="0" borderId="10" xfId="1" applyNumberFormat="1" applyFont="1" applyBorder="1"/>
    <xf numFmtId="168" fontId="0" fillId="0" borderId="11" xfId="1" applyNumberFormat="1" applyFont="1" applyBorder="1"/>
    <xf numFmtId="168" fontId="0" fillId="0" borderId="12" xfId="1" applyNumberFormat="1" applyFont="1" applyBorder="1"/>
    <xf numFmtId="168" fontId="0" fillId="0" borderId="14" xfId="1" applyNumberFormat="1" applyFont="1" applyBorder="1"/>
    <xf numFmtId="168" fontId="0" fillId="0" borderId="15" xfId="1" applyNumberFormat="1" applyFont="1" applyBorder="1"/>
    <xf numFmtId="168" fontId="0" fillId="0" borderId="16" xfId="1" applyNumberFormat="1" applyFont="1" applyBorder="1"/>
    <xf numFmtId="0" fontId="2" fillId="12" borderId="9" xfId="0" applyFont="1" applyFill="1" applyBorder="1" applyAlignment="1">
      <alignment horizontal="center" vertical="center" wrapText="1"/>
    </xf>
    <xf numFmtId="168" fontId="0" fillId="0" borderId="14" xfId="1" applyNumberFormat="1" applyFont="1" applyFill="1" applyBorder="1" applyAlignment="1">
      <alignment horizontal="center" vertical="center"/>
    </xf>
    <xf numFmtId="168" fontId="0" fillId="0" borderId="21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/>
    </xf>
    <xf numFmtId="168" fontId="0" fillId="0" borderId="0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 vertical="center"/>
    </xf>
    <xf numFmtId="168" fontId="0" fillId="0" borderId="16" xfId="1" applyNumberFormat="1" applyFont="1" applyBorder="1" applyAlignment="1">
      <alignment horizontal="center" vertical="center"/>
    </xf>
    <xf numFmtId="168" fontId="0" fillId="0" borderId="20" xfId="1" applyNumberFormat="1" applyFont="1" applyFill="1" applyBorder="1" applyAlignment="1">
      <alignment horizontal="center" vertical="center"/>
    </xf>
    <xf numFmtId="168" fontId="0" fillId="0" borderId="10" xfId="1" applyNumberFormat="1" applyFont="1" applyFill="1" applyBorder="1" applyAlignment="1">
      <alignment horizontal="center" vertical="center"/>
    </xf>
    <xf numFmtId="168" fontId="0" fillId="0" borderId="11" xfId="1" applyNumberFormat="1" applyFont="1" applyFill="1" applyBorder="1" applyAlignment="1">
      <alignment horizontal="center" vertical="center"/>
    </xf>
    <xf numFmtId="168" fontId="0" fillId="0" borderId="12" xfId="1" applyNumberFormat="1" applyFont="1" applyFill="1" applyBorder="1" applyAlignment="1">
      <alignment horizontal="center" vertical="center"/>
    </xf>
    <xf numFmtId="168" fontId="0" fillId="0" borderId="10" xfId="4" applyNumberFormat="1" applyFont="1" applyFill="1" applyBorder="1" applyAlignment="1">
      <alignment horizontal="center" vertical="center"/>
    </xf>
    <xf numFmtId="168" fontId="0" fillId="0" borderId="11" xfId="4" applyNumberFormat="1" applyFont="1" applyFill="1" applyBorder="1" applyAlignment="1">
      <alignment horizontal="center" vertical="center"/>
    </xf>
    <xf numFmtId="168" fontId="0" fillId="0" borderId="12" xfId="4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68" fontId="0" fillId="0" borderId="0" xfId="1" applyNumberFormat="1" applyFont="1" applyBorder="1" applyAlignment="1">
      <alignment horizontal="center" vertical="center"/>
    </xf>
    <xf numFmtId="0" fontId="2" fillId="12" borderId="20" xfId="0" applyFont="1" applyFill="1" applyBorder="1" applyAlignment="1">
      <alignment horizontal="center" vertical="center"/>
    </xf>
    <xf numFmtId="0" fontId="27" fillId="9" borderId="12" xfId="0" applyFont="1" applyFill="1" applyBorder="1" applyAlignment="1">
      <alignment horizontal="center" vertical="center" wrapText="1"/>
    </xf>
    <xf numFmtId="0" fontId="27" fillId="9" borderId="12" xfId="0" applyFont="1" applyFill="1" applyBorder="1" applyAlignment="1">
      <alignment horizontal="center" vertical="center"/>
    </xf>
    <xf numFmtId="168" fontId="27" fillId="9" borderId="12" xfId="1" applyNumberFormat="1" applyFont="1" applyFill="1" applyBorder="1" applyAlignment="1">
      <alignment horizontal="center" vertical="center"/>
    </xf>
    <xf numFmtId="0" fontId="2" fillId="12" borderId="21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0" fontId="26" fillId="8" borderId="9" xfId="0" applyFont="1" applyFill="1" applyBorder="1" applyAlignment="1">
      <alignment horizontal="center" vertical="center" wrapText="1"/>
    </xf>
    <xf numFmtId="0" fontId="24" fillId="8" borderId="18" xfId="0" applyFont="1" applyFill="1" applyBorder="1" applyAlignment="1">
      <alignment horizontal="center" vertical="center"/>
    </xf>
    <xf numFmtId="1" fontId="0" fillId="0" borderId="0" xfId="0" applyNumberFormat="1"/>
    <xf numFmtId="0" fontId="2" fillId="8" borderId="10" xfId="0" applyFont="1" applyFill="1" applyBorder="1" applyAlignment="1">
      <alignment horizontal="center" vertical="center"/>
    </xf>
    <xf numFmtId="180" fontId="0" fillId="0" borderId="0" xfId="1" applyNumberFormat="1" applyFont="1"/>
    <xf numFmtId="174" fontId="0" fillId="0" borderId="24" xfId="0" applyNumberFormat="1" applyBorder="1"/>
    <xf numFmtId="3" fontId="0" fillId="0" borderId="24" xfId="0" applyNumberFormat="1" applyBorder="1"/>
    <xf numFmtId="1" fontId="0" fillId="0" borderId="24" xfId="0" applyNumberFormat="1" applyBorder="1"/>
    <xf numFmtId="180" fontId="0" fillId="0" borderId="24" xfId="1" applyNumberFormat="1" applyFont="1" applyBorder="1"/>
    <xf numFmtId="0" fontId="2" fillId="0" borderId="24" xfId="0" applyFont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8" fontId="0" fillId="16" borderId="11" xfId="4" applyNumberFormat="1" applyFont="1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168" fontId="0" fillId="17" borderId="11" xfId="1" applyNumberFormat="1" applyFont="1" applyFill="1" applyBorder="1"/>
    <xf numFmtId="0" fontId="28" fillId="17" borderId="0" xfId="0" applyFont="1" applyFill="1" applyAlignment="1">
      <alignment horizontal="center" vertical="center"/>
    </xf>
    <xf numFmtId="0" fontId="28" fillId="17" borderId="20" xfId="0" applyFont="1" applyFill="1" applyBorder="1" applyAlignment="1">
      <alignment horizontal="center" vertical="center"/>
    </xf>
    <xf numFmtId="168" fontId="2" fillId="17" borderId="15" xfId="1" applyNumberFormat="1" applyFont="1" applyFill="1" applyBorder="1" applyAlignment="1">
      <alignment horizontal="center"/>
    </xf>
    <xf numFmtId="168" fontId="2" fillId="17" borderId="0" xfId="1" applyNumberFormat="1" applyFont="1" applyFill="1" applyBorder="1" applyAlignment="1">
      <alignment horizontal="center"/>
    </xf>
    <xf numFmtId="0" fontId="0" fillId="17" borderId="11" xfId="0" applyFill="1" applyBorder="1" applyAlignment="1">
      <alignment horizontal="center" vertical="center" wrapText="1"/>
    </xf>
    <xf numFmtId="168" fontId="0" fillId="17" borderId="11" xfId="4" applyNumberFormat="1" applyFont="1" applyFill="1" applyBorder="1" applyAlignment="1">
      <alignment horizontal="center" vertical="center"/>
    </xf>
    <xf numFmtId="174" fontId="0" fillId="0" borderId="0" xfId="4" applyNumberFormat="1" applyFont="1"/>
    <xf numFmtId="1" fontId="2" fillId="0" borderId="24" xfId="0" applyNumberFormat="1" applyFont="1" applyBorder="1" applyAlignment="1">
      <alignment horizontal="center" vertical="center"/>
    </xf>
    <xf numFmtId="0" fontId="0" fillId="17" borderId="0" xfId="0" applyFill="1" applyAlignment="1">
      <alignment horizontal="center" wrapText="1"/>
    </xf>
    <xf numFmtId="0" fontId="2" fillId="17" borderId="15" xfId="0" applyFont="1" applyFill="1" applyBorder="1" applyAlignment="1">
      <alignment horizontal="center"/>
    </xf>
    <xf numFmtId="0" fontId="2" fillId="17" borderId="0" xfId="0" applyFont="1" applyFill="1" applyAlignment="1">
      <alignment horizontal="center"/>
    </xf>
  </cellXfs>
  <cellStyles count="5">
    <cellStyle name="Hipervínculo" xfId="2" builtinId="8"/>
    <cellStyle name="Millares" xfId="4" builtinId="3"/>
    <cellStyle name="Millares 2" xfId="3" xr:uid="{B5FA09B4-307C-4159-B091-F5BB2993442C}"/>
    <cellStyle name="Normal" xfId="0" builtinId="0"/>
    <cellStyle name="Porcentaje" xfId="1" builtinId="5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H1" zoomScaleNormal="100" workbookViewId="0">
      <selection activeCell="H11" sqref="H11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167"/>
      <c r="B1" s="167"/>
      <c r="C1" s="167"/>
      <c r="D1" s="167"/>
      <c r="E1" s="167"/>
      <c r="F1" s="167"/>
      <c r="G1" s="167"/>
    </row>
    <row r="2" spans="1:87" ht="9" customHeight="1" x14ac:dyDescent="0.2">
      <c r="A2" s="167"/>
      <c r="B2" s="167"/>
      <c r="C2" s="167"/>
      <c r="D2" s="167"/>
      <c r="E2" s="167"/>
      <c r="F2" s="167"/>
      <c r="G2" s="167"/>
    </row>
    <row r="3" spans="1:87" s="3" customFormat="1" ht="42" customHeight="1" x14ac:dyDescent="0.3">
      <c r="A3" s="167"/>
      <c r="B3" s="167"/>
      <c r="C3" s="167"/>
      <c r="D3" s="167"/>
      <c r="E3" s="167"/>
      <c r="F3" s="167"/>
      <c r="G3" s="167"/>
      <c r="H3" s="149">
        <f>SUM(D15:G15)</f>
        <v>37909</v>
      </c>
      <c r="I3" s="149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168" t="s">
        <v>0</v>
      </c>
      <c r="B5" s="168"/>
      <c r="C5" s="168"/>
      <c r="D5" s="168"/>
      <c r="E5" s="168"/>
      <c r="F5" s="168"/>
      <c r="G5" s="168"/>
      <c r="CF5" s="150">
        <f>SUM(CF15:CI15)</f>
        <v>63888.120954066384</v>
      </c>
    </row>
    <row r="6" spans="1:87" s="4" customFormat="1" ht="14.45" customHeight="1" x14ac:dyDescent="0.35">
      <c r="A6" s="168"/>
      <c r="B6" s="168"/>
      <c r="C6" s="168"/>
      <c r="D6" s="168"/>
      <c r="E6" s="168"/>
      <c r="F6" s="168"/>
      <c r="G6" s="168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  <c r="H11" s="45">
        <f>SUM(D15:G15)</f>
        <v>37909</v>
      </c>
    </row>
    <row r="12" spans="1:87" s="13" customFormat="1" ht="36.950000000000003" customHeight="1" x14ac:dyDescent="0.25">
      <c r="A12" s="163" t="s">
        <v>8</v>
      </c>
      <c r="B12" s="161" t="s">
        <v>9</v>
      </c>
      <c r="C12" s="161" t="s">
        <v>10</v>
      </c>
      <c r="D12" s="161">
        <v>2005</v>
      </c>
      <c r="E12" s="161"/>
      <c r="F12" s="161"/>
      <c r="G12" s="161"/>
      <c r="H12" s="161">
        <v>2006</v>
      </c>
      <c r="I12" s="161"/>
      <c r="J12" s="161"/>
      <c r="K12" s="161"/>
      <c r="L12" s="161">
        <v>2007</v>
      </c>
      <c r="M12" s="161"/>
      <c r="N12" s="161"/>
      <c r="O12" s="161"/>
      <c r="P12" s="161">
        <v>2008</v>
      </c>
      <c r="Q12" s="161"/>
      <c r="R12" s="161"/>
      <c r="S12" s="161"/>
      <c r="T12" s="161">
        <v>2009</v>
      </c>
      <c r="U12" s="161"/>
      <c r="V12" s="161"/>
      <c r="W12" s="161"/>
      <c r="X12" s="161">
        <v>2010</v>
      </c>
      <c r="Y12" s="161"/>
      <c r="Z12" s="161"/>
      <c r="AA12" s="161"/>
      <c r="AB12" s="161">
        <v>2011</v>
      </c>
      <c r="AC12" s="161"/>
      <c r="AD12" s="161"/>
      <c r="AE12" s="161"/>
      <c r="AF12" s="161">
        <v>2012</v>
      </c>
      <c r="AG12" s="161"/>
      <c r="AH12" s="161"/>
      <c r="AI12" s="161"/>
      <c r="AJ12" s="161">
        <v>2013</v>
      </c>
      <c r="AK12" s="161"/>
      <c r="AL12" s="161"/>
      <c r="AM12" s="161"/>
      <c r="AN12" s="161">
        <v>2014</v>
      </c>
      <c r="AO12" s="161"/>
      <c r="AP12" s="161"/>
      <c r="AQ12" s="161"/>
      <c r="AR12" s="161">
        <v>2015</v>
      </c>
      <c r="AS12" s="161"/>
      <c r="AT12" s="161"/>
      <c r="AU12" s="161"/>
      <c r="AV12" s="161">
        <v>2016</v>
      </c>
      <c r="AW12" s="161"/>
      <c r="AX12" s="161"/>
      <c r="AY12" s="161"/>
      <c r="AZ12" s="161">
        <v>2017</v>
      </c>
      <c r="BA12" s="161"/>
      <c r="BB12" s="161"/>
      <c r="BC12" s="161"/>
      <c r="BD12" s="161">
        <v>2018</v>
      </c>
      <c r="BE12" s="161"/>
      <c r="BF12" s="161"/>
      <c r="BG12" s="161"/>
      <c r="BH12" s="161">
        <v>2019</v>
      </c>
      <c r="BI12" s="161"/>
      <c r="BJ12" s="161"/>
      <c r="BK12" s="161"/>
      <c r="BL12" s="161">
        <v>2020</v>
      </c>
      <c r="BM12" s="161"/>
      <c r="BN12" s="161"/>
      <c r="BO12" s="161"/>
      <c r="BP12" s="161">
        <v>2021</v>
      </c>
      <c r="BQ12" s="161"/>
      <c r="BR12" s="161"/>
      <c r="BS12" s="161"/>
      <c r="BT12" s="161">
        <v>2022</v>
      </c>
      <c r="BU12" s="161"/>
      <c r="BV12" s="161"/>
      <c r="BW12" s="161"/>
      <c r="BX12" s="161">
        <v>2023</v>
      </c>
      <c r="BY12" s="161" t="s">
        <v>11</v>
      </c>
      <c r="BZ12" s="161"/>
      <c r="CA12" s="161"/>
      <c r="CB12" s="161" t="s">
        <v>12</v>
      </c>
      <c r="CC12" s="161" t="s">
        <v>11</v>
      </c>
      <c r="CD12" s="161"/>
      <c r="CE12" s="161"/>
      <c r="CF12" s="161" t="s">
        <v>13</v>
      </c>
      <c r="CG12" s="161" t="s">
        <v>11</v>
      </c>
      <c r="CH12" s="161"/>
      <c r="CI12" s="162"/>
    </row>
    <row r="13" spans="1:87" s="13" customFormat="1" ht="12" customHeight="1" x14ac:dyDescent="0.25">
      <c r="A13" s="164"/>
      <c r="B13" s="165"/>
      <c r="C13" s="165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166" t="s">
        <v>0</v>
      </c>
      <c r="B39" s="166"/>
      <c r="C39" s="166"/>
      <c r="D39" s="166"/>
      <c r="E39" s="166"/>
      <c r="F39" s="166"/>
      <c r="G39" s="166"/>
    </row>
    <row r="40" spans="1:87" s="2" customFormat="1" ht="14.25" customHeight="1" x14ac:dyDescent="0.2">
      <c r="A40" s="166"/>
      <c r="B40" s="166"/>
      <c r="C40" s="166"/>
      <c r="D40" s="166"/>
      <c r="E40" s="166"/>
      <c r="F40" s="166"/>
      <c r="G40" s="166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163" t="s">
        <v>8</v>
      </c>
      <c r="B45" s="161" t="s">
        <v>9</v>
      </c>
      <c r="C45" s="161" t="s">
        <v>10</v>
      </c>
      <c r="D45" s="161"/>
      <c r="E45" s="161"/>
      <c r="F45" s="161"/>
      <c r="G45" s="161"/>
      <c r="H45" s="161">
        <v>2006</v>
      </c>
      <c r="I45" s="161"/>
      <c r="J45" s="161"/>
      <c r="K45" s="161"/>
      <c r="L45" s="161">
        <v>2007</v>
      </c>
      <c r="M45" s="161"/>
      <c r="N45" s="161"/>
      <c r="O45" s="161"/>
      <c r="P45" s="161">
        <v>2008</v>
      </c>
      <c r="Q45" s="161"/>
      <c r="R45" s="161"/>
      <c r="S45" s="161"/>
      <c r="T45" s="161">
        <v>2009</v>
      </c>
      <c r="U45" s="161"/>
      <c r="V45" s="161"/>
      <c r="W45" s="161"/>
      <c r="X45" s="161">
        <v>2010</v>
      </c>
      <c r="Y45" s="161"/>
      <c r="Z45" s="161"/>
      <c r="AA45" s="161"/>
      <c r="AB45" s="161">
        <v>2011</v>
      </c>
      <c r="AC45" s="161"/>
      <c r="AD45" s="161"/>
      <c r="AE45" s="161"/>
      <c r="AF45" s="161">
        <v>2012</v>
      </c>
      <c r="AG45" s="161"/>
      <c r="AH45" s="161"/>
      <c r="AI45" s="161"/>
      <c r="AJ45" s="161">
        <v>2013</v>
      </c>
      <c r="AK45" s="161"/>
      <c r="AL45" s="161"/>
      <c r="AM45" s="161"/>
      <c r="AN45" s="161">
        <v>2014</v>
      </c>
      <c r="AO45" s="161"/>
      <c r="AP45" s="161"/>
      <c r="AQ45" s="161"/>
      <c r="AR45" s="161">
        <v>2015</v>
      </c>
      <c r="AS45" s="161"/>
      <c r="AT45" s="161"/>
      <c r="AU45" s="161"/>
      <c r="AV45" s="161">
        <v>2016</v>
      </c>
      <c r="AW45" s="161"/>
      <c r="AX45" s="161"/>
      <c r="AY45" s="161"/>
      <c r="AZ45" s="161">
        <v>2017</v>
      </c>
      <c r="BA45" s="161"/>
      <c r="BB45" s="161"/>
      <c r="BC45" s="161"/>
      <c r="BD45" s="161">
        <v>2018</v>
      </c>
      <c r="BE45" s="161"/>
      <c r="BF45" s="161"/>
      <c r="BG45" s="161"/>
      <c r="BH45" s="161">
        <v>2019</v>
      </c>
      <c r="BI45" s="161"/>
      <c r="BJ45" s="161"/>
      <c r="BK45" s="161"/>
      <c r="BL45" s="161">
        <v>2020</v>
      </c>
      <c r="BM45" s="161"/>
      <c r="BN45" s="161"/>
      <c r="BO45" s="161"/>
      <c r="BP45" s="161">
        <v>2021</v>
      </c>
      <c r="BQ45" s="161"/>
      <c r="BR45" s="161"/>
      <c r="BS45" s="161"/>
      <c r="BT45" s="161">
        <v>2022</v>
      </c>
      <c r="BU45" s="161"/>
      <c r="BV45" s="161"/>
      <c r="BW45" s="161"/>
      <c r="BX45" s="161">
        <v>2023</v>
      </c>
      <c r="BY45" s="161" t="s">
        <v>11</v>
      </c>
      <c r="BZ45" s="161"/>
      <c r="CA45" s="161"/>
      <c r="CB45" s="161" t="s">
        <v>12</v>
      </c>
      <c r="CC45" s="161" t="s">
        <v>11</v>
      </c>
      <c r="CD45" s="161"/>
      <c r="CE45" s="161"/>
      <c r="CF45" s="161" t="s">
        <v>13</v>
      </c>
      <c r="CG45" s="161" t="s">
        <v>11</v>
      </c>
      <c r="CH45" s="161"/>
      <c r="CI45" s="162"/>
    </row>
    <row r="46" spans="1:87" s="13" customFormat="1" ht="12" customHeight="1" x14ac:dyDescent="0.25">
      <c r="A46" s="164"/>
      <c r="B46" s="165"/>
      <c r="C46" s="165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166" t="s">
        <v>0</v>
      </c>
      <c r="B72" s="166"/>
      <c r="C72" s="166"/>
      <c r="D72" s="166"/>
      <c r="E72" s="166"/>
      <c r="F72" s="166"/>
      <c r="G72" s="166"/>
    </row>
    <row r="73" spans="1:87" s="2" customFormat="1" ht="14.25" customHeight="1" x14ac:dyDescent="0.2">
      <c r="A73" s="166"/>
      <c r="B73" s="166"/>
      <c r="C73" s="166"/>
      <c r="D73" s="166"/>
      <c r="E73" s="166"/>
      <c r="F73" s="166"/>
      <c r="G73" s="166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163" t="s">
        <v>8</v>
      </c>
      <c r="B78" s="161" t="s">
        <v>9</v>
      </c>
      <c r="C78" s="161" t="s">
        <v>10</v>
      </c>
      <c r="D78" s="161"/>
      <c r="E78" s="161"/>
      <c r="F78" s="161"/>
      <c r="G78" s="161"/>
      <c r="H78" s="161">
        <v>2006</v>
      </c>
      <c r="I78" s="161"/>
      <c r="J78" s="161"/>
      <c r="K78" s="161"/>
      <c r="L78" s="161">
        <v>2007</v>
      </c>
      <c r="M78" s="161"/>
      <c r="N78" s="161"/>
      <c r="O78" s="161"/>
      <c r="P78" s="161">
        <v>2008</v>
      </c>
      <c r="Q78" s="161"/>
      <c r="R78" s="161"/>
      <c r="S78" s="161"/>
      <c r="T78" s="161">
        <v>2009</v>
      </c>
      <c r="U78" s="161"/>
      <c r="V78" s="161"/>
      <c r="W78" s="161"/>
      <c r="X78" s="161">
        <v>2010</v>
      </c>
      <c r="Y78" s="161"/>
      <c r="Z78" s="161"/>
      <c r="AA78" s="161"/>
      <c r="AB78" s="161">
        <v>2011</v>
      </c>
      <c r="AC78" s="161"/>
      <c r="AD78" s="161"/>
      <c r="AE78" s="161"/>
      <c r="AF78" s="161">
        <v>2012</v>
      </c>
      <c r="AG78" s="161"/>
      <c r="AH78" s="161"/>
      <c r="AI78" s="161"/>
      <c r="AJ78" s="161">
        <v>2013</v>
      </c>
      <c r="AK78" s="161"/>
      <c r="AL78" s="161"/>
      <c r="AM78" s="161"/>
      <c r="AN78" s="161">
        <v>2014</v>
      </c>
      <c r="AO78" s="161"/>
      <c r="AP78" s="161"/>
      <c r="AQ78" s="161"/>
      <c r="AR78" s="161">
        <v>2015</v>
      </c>
      <c r="AS78" s="161"/>
      <c r="AT78" s="161"/>
      <c r="AU78" s="161"/>
      <c r="AV78" s="161">
        <v>2016</v>
      </c>
      <c r="AW78" s="161"/>
      <c r="AX78" s="161"/>
      <c r="AY78" s="161"/>
      <c r="AZ78" s="161">
        <v>2017</v>
      </c>
      <c r="BA78" s="161"/>
      <c r="BB78" s="161"/>
      <c r="BC78" s="161"/>
      <c r="BD78" s="161">
        <v>2018</v>
      </c>
      <c r="BE78" s="161"/>
      <c r="BF78" s="161"/>
      <c r="BG78" s="161"/>
      <c r="BH78" s="161">
        <v>2019</v>
      </c>
      <c r="BI78" s="161"/>
      <c r="BJ78" s="161"/>
      <c r="BK78" s="161"/>
      <c r="BL78" s="161">
        <v>2020</v>
      </c>
      <c r="BM78" s="161"/>
      <c r="BN78" s="161"/>
      <c r="BO78" s="161"/>
      <c r="BP78" s="161">
        <v>2021</v>
      </c>
      <c r="BQ78" s="161"/>
      <c r="BR78" s="161"/>
      <c r="BS78" s="161"/>
      <c r="BT78" s="161">
        <v>2022</v>
      </c>
      <c r="BU78" s="161"/>
      <c r="BV78" s="161"/>
      <c r="BW78" s="161"/>
      <c r="BX78" s="161">
        <v>2023</v>
      </c>
      <c r="BY78" s="161" t="s">
        <v>11</v>
      </c>
      <c r="BZ78" s="161"/>
      <c r="CA78" s="161"/>
      <c r="CB78" s="161" t="s">
        <v>12</v>
      </c>
      <c r="CC78" s="161" t="s">
        <v>11</v>
      </c>
      <c r="CD78" s="161"/>
      <c r="CE78" s="161"/>
      <c r="CF78" s="161" t="s">
        <v>13</v>
      </c>
      <c r="CG78" s="161" t="s">
        <v>11</v>
      </c>
      <c r="CH78" s="161"/>
      <c r="CI78" s="162"/>
    </row>
    <row r="79" spans="1:87" s="13" customFormat="1" ht="12" customHeight="1" x14ac:dyDescent="0.25">
      <c r="A79" s="164"/>
      <c r="B79" s="165"/>
      <c r="C79" s="165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A38"/>
  <sheetViews>
    <sheetView topLeftCell="B12" zoomScale="80" zoomScaleNormal="80" workbookViewId="0">
      <selection activeCell="X19" sqref="X19"/>
    </sheetView>
  </sheetViews>
  <sheetFormatPr baseColWidth="10" defaultRowHeight="15" x14ac:dyDescent="0.25"/>
  <cols>
    <col min="1" max="1" width="70.85546875" style="142" customWidth="1"/>
    <col min="2" max="21" width="12.140625" bestFit="1" customWidth="1"/>
    <col min="22" max="27" width="13.85546875" bestFit="1" customWidth="1"/>
  </cols>
  <sheetData>
    <row r="1" spans="1:27" x14ac:dyDescent="0.25">
      <c r="A1" s="169" t="s">
        <v>86</v>
      </c>
    </row>
    <row r="2" spans="1:27" ht="15.75" thickBot="1" x14ac:dyDescent="0.3">
      <c r="A2" s="169"/>
    </row>
    <row r="3" spans="1:27" x14ac:dyDescent="0.25">
      <c r="W3" s="181" t="s">
        <v>75</v>
      </c>
      <c r="X3" s="182"/>
      <c r="Y3" s="182"/>
      <c r="Z3" s="182"/>
      <c r="AA3" s="183"/>
    </row>
    <row r="4" spans="1:27" ht="15.75" thickBot="1" x14ac:dyDescent="0.3">
      <c r="W4" s="184"/>
      <c r="X4" s="185"/>
      <c r="Y4" s="185"/>
      <c r="Z4" s="185"/>
      <c r="AA4" s="186"/>
    </row>
    <row r="5" spans="1:27" s="144" customFormat="1" ht="19.5" thickBot="1" x14ac:dyDescent="0.35">
      <c r="A5" s="265" t="s">
        <v>10</v>
      </c>
      <c r="B5" s="157">
        <v>2005</v>
      </c>
      <c r="C5" s="156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7" s="148" customFormat="1" ht="26.25" customHeight="1" x14ac:dyDescent="0.25">
      <c r="A6" s="231" t="s">
        <v>19</v>
      </c>
      <c r="B6" s="151">
        <v>37909</v>
      </c>
      <c r="C6" s="155">
        <v>38717</v>
      </c>
      <c r="D6" s="145">
        <v>40239</v>
      </c>
      <c r="E6" s="145">
        <v>39914.999999999993</v>
      </c>
      <c r="F6" s="145">
        <v>39822</v>
      </c>
      <c r="G6" s="145">
        <v>39943</v>
      </c>
      <c r="H6" s="145">
        <v>40706.000000000007</v>
      </c>
      <c r="I6" s="145">
        <v>41725</v>
      </c>
      <c r="J6" s="145">
        <v>44834.999999999993</v>
      </c>
      <c r="K6" s="145">
        <v>46140</v>
      </c>
      <c r="L6" s="145">
        <v>48124</v>
      </c>
      <c r="M6" s="145">
        <v>49441</v>
      </c>
      <c r="N6" s="145">
        <v>52198</v>
      </c>
      <c r="O6" s="145">
        <v>53030</v>
      </c>
      <c r="P6" s="145">
        <v>54471</v>
      </c>
      <c r="Q6" s="145">
        <v>55539</v>
      </c>
      <c r="R6" s="154">
        <v>57968</v>
      </c>
      <c r="S6" s="145">
        <v>57442</v>
      </c>
      <c r="T6" s="155">
        <v>58389</v>
      </c>
      <c r="U6" s="145">
        <v>61966.999999999985</v>
      </c>
      <c r="V6" s="145">
        <v>63888.120954066384</v>
      </c>
      <c r="W6" s="145">
        <f>V6*(1+W26)</f>
        <v>66835.950434092651</v>
      </c>
      <c r="X6" s="145">
        <f t="shared" ref="X6:AA6" si="0">W6*(1+X26)</f>
        <v>69413.907192983272</v>
      </c>
      <c r="Y6" s="145">
        <f t="shared" si="0"/>
        <v>72353.999278498406</v>
      </c>
      <c r="Z6" s="145">
        <f t="shared" si="0"/>
        <v>75281.708358124772</v>
      </c>
      <c r="AA6" s="145">
        <f t="shared" si="0"/>
        <v>78399.110033224424</v>
      </c>
    </row>
    <row r="7" spans="1:27" s="148" customFormat="1" ht="28.5" customHeight="1" x14ac:dyDescent="0.25">
      <c r="A7" s="230" t="s">
        <v>21</v>
      </c>
      <c r="B7" s="146">
        <v>27430</v>
      </c>
      <c r="C7" s="153">
        <v>28059</v>
      </c>
      <c r="D7" s="146">
        <v>28434</v>
      </c>
      <c r="E7" s="146">
        <v>31101</v>
      </c>
      <c r="F7" s="146">
        <v>34659</v>
      </c>
      <c r="G7" s="146">
        <v>38427</v>
      </c>
      <c r="H7" s="146">
        <v>43974</v>
      </c>
      <c r="I7" s="146">
        <v>46335</v>
      </c>
      <c r="J7" s="146">
        <v>48794</v>
      </c>
      <c r="K7" s="146">
        <v>48136</v>
      </c>
      <c r="L7" s="146">
        <v>47626.999999999993</v>
      </c>
      <c r="M7" s="146">
        <v>46253</v>
      </c>
      <c r="N7" s="146">
        <v>43592</v>
      </c>
      <c r="O7" s="146">
        <v>42868.000000000007</v>
      </c>
      <c r="P7" s="146">
        <v>43692.999999999993</v>
      </c>
      <c r="Q7" s="146">
        <v>37056.000000000007</v>
      </c>
      <c r="R7" s="152">
        <v>36980</v>
      </c>
      <c r="S7" s="146">
        <v>37518</v>
      </c>
      <c r="T7" s="153">
        <v>38480.999999999993</v>
      </c>
      <c r="U7" s="146">
        <v>37168</v>
      </c>
      <c r="V7" s="146">
        <v>34868.277064090362</v>
      </c>
      <c r="W7" s="146">
        <f t="shared" ref="W7:AA18" si="1">V7*(1+W27)</f>
        <v>33194.696199246107</v>
      </c>
      <c r="X7" s="146">
        <f t="shared" si="1"/>
        <v>31371.129496069167</v>
      </c>
      <c r="Y7" s="146">
        <f t="shared" si="1"/>
        <v>29756.571677465465</v>
      </c>
      <c r="Z7" s="146">
        <f t="shared" si="1"/>
        <v>28173.494640273962</v>
      </c>
      <c r="AA7" s="146">
        <f t="shared" si="1"/>
        <v>26699.073103066705</v>
      </c>
    </row>
    <row r="8" spans="1:27" s="148" customFormat="1" ht="30" customHeight="1" x14ac:dyDescent="0.25">
      <c r="A8" s="231" t="s">
        <v>23</v>
      </c>
      <c r="B8" s="145">
        <v>77252</v>
      </c>
      <c r="C8" s="155">
        <v>82885</v>
      </c>
      <c r="D8" s="145">
        <v>89320</v>
      </c>
      <c r="E8" s="145">
        <v>89639</v>
      </c>
      <c r="F8" s="145">
        <v>86354</v>
      </c>
      <c r="G8" s="145">
        <v>87979.999999999985</v>
      </c>
      <c r="H8" s="145">
        <v>92896</v>
      </c>
      <c r="I8" s="145">
        <v>93666.999999999985</v>
      </c>
      <c r="J8" s="145">
        <v>95081</v>
      </c>
      <c r="K8" s="145">
        <v>97828.999999999985</v>
      </c>
      <c r="L8" s="145">
        <v>99789</v>
      </c>
      <c r="M8" s="145">
        <v>103005.99999999999</v>
      </c>
      <c r="N8" s="145">
        <v>101135</v>
      </c>
      <c r="O8" s="145">
        <v>102626.99999999997</v>
      </c>
      <c r="P8" s="145">
        <v>103860.00000000001</v>
      </c>
      <c r="Q8" s="145">
        <v>94254</v>
      </c>
      <c r="R8" s="154">
        <v>107066</v>
      </c>
      <c r="S8" s="145">
        <v>115801.99999999999</v>
      </c>
      <c r="T8" s="155">
        <v>113925.00000000001</v>
      </c>
      <c r="U8" s="145">
        <v>111003</v>
      </c>
      <c r="V8" s="145">
        <v>113056.56188430529</v>
      </c>
      <c r="W8" s="145">
        <f t="shared" si="1"/>
        <v>112652.47538000907</v>
      </c>
      <c r="X8" s="145">
        <f t="shared" si="1"/>
        <v>113493.19290724187</v>
      </c>
      <c r="Y8" s="145">
        <f t="shared" si="1"/>
        <v>113713.86522389682</v>
      </c>
      <c r="Z8" s="145">
        <f t="shared" si="1"/>
        <v>114248.73521872904</v>
      </c>
      <c r="AA8" s="145">
        <f t="shared" si="1"/>
        <v>114628.49881999166</v>
      </c>
    </row>
    <row r="9" spans="1:27" s="148" customFormat="1" ht="45" x14ac:dyDescent="0.25">
      <c r="A9" s="230" t="s">
        <v>25</v>
      </c>
      <c r="B9" s="146">
        <v>18685</v>
      </c>
      <c r="C9" s="153">
        <v>19679</v>
      </c>
      <c r="D9" s="146">
        <v>20511</v>
      </c>
      <c r="E9" s="146">
        <v>20619</v>
      </c>
      <c r="F9" s="146">
        <v>21113.000000000004</v>
      </c>
      <c r="G9" s="146">
        <v>21935.000000000004</v>
      </c>
      <c r="H9" s="146">
        <v>22608</v>
      </c>
      <c r="I9" s="146">
        <v>23094</v>
      </c>
      <c r="J9" s="146">
        <v>23950</v>
      </c>
      <c r="K9" s="146">
        <v>24772.999999999996</v>
      </c>
      <c r="L9" s="146">
        <v>24598.999999999993</v>
      </c>
      <c r="M9" s="146">
        <v>24597</v>
      </c>
      <c r="N9" s="146">
        <v>25306.999999999996</v>
      </c>
      <c r="O9" s="146">
        <v>25952.000000000004</v>
      </c>
      <c r="P9" s="146">
        <v>26606.000000000004</v>
      </c>
      <c r="Q9" s="146">
        <v>25587</v>
      </c>
      <c r="R9" s="152">
        <v>27079</v>
      </c>
      <c r="S9" s="146">
        <v>28327</v>
      </c>
      <c r="T9" s="153">
        <v>29221</v>
      </c>
      <c r="U9" s="146">
        <v>29948</v>
      </c>
      <c r="V9" s="146">
        <v>30289.602434291664</v>
      </c>
      <c r="W9" s="146">
        <f t="shared" si="1"/>
        <v>30839.144975163603</v>
      </c>
      <c r="X9" s="146">
        <f t="shared" si="1"/>
        <v>31294.785053431708</v>
      </c>
      <c r="Y9" s="146">
        <f t="shared" si="1"/>
        <v>31809.860828502598</v>
      </c>
      <c r="Z9" s="146">
        <f t="shared" si="1"/>
        <v>32306.628562273097</v>
      </c>
      <c r="AA9" s="146">
        <f t="shared" si="1"/>
        <v>32824.756157790674</v>
      </c>
    </row>
    <row r="10" spans="1:27" s="148" customFormat="1" ht="33.75" customHeight="1" x14ac:dyDescent="0.25">
      <c r="A10" s="231" t="s">
        <v>27</v>
      </c>
      <c r="B10" s="145">
        <v>29808</v>
      </c>
      <c r="C10" s="155">
        <v>33427</v>
      </c>
      <c r="D10" s="145">
        <v>35747</v>
      </c>
      <c r="E10" s="145">
        <v>39289</v>
      </c>
      <c r="F10" s="145">
        <v>40316</v>
      </c>
      <c r="G10" s="145">
        <v>40048.000000000007</v>
      </c>
      <c r="H10" s="145">
        <v>42536</v>
      </c>
      <c r="I10" s="145">
        <v>45051</v>
      </c>
      <c r="J10" s="145">
        <v>50131</v>
      </c>
      <c r="K10" s="145">
        <v>54602</v>
      </c>
      <c r="L10" s="145">
        <v>58042</v>
      </c>
      <c r="M10" s="145">
        <v>60124.999999999993</v>
      </c>
      <c r="N10" s="145">
        <v>58907</v>
      </c>
      <c r="O10" s="145">
        <v>58156</v>
      </c>
      <c r="P10" s="145">
        <v>55893</v>
      </c>
      <c r="Q10" s="145">
        <v>39359</v>
      </c>
      <c r="R10" s="154">
        <v>41039</v>
      </c>
      <c r="S10" s="145">
        <v>43765</v>
      </c>
      <c r="T10" s="155">
        <v>42412</v>
      </c>
      <c r="U10" s="145">
        <v>42448</v>
      </c>
      <c r="V10" s="145">
        <v>41273.053068554225</v>
      </c>
      <c r="W10" s="145">
        <f t="shared" si="1"/>
        <v>40719.357300236836</v>
      </c>
      <c r="X10" s="145">
        <f t="shared" si="1"/>
        <v>39882.674119692369</v>
      </c>
      <c r="Y10" s="145">
        <f t="shared" si="1"/>
        <v>39205.406807516934</v>
      </c>
      <c r="Z10" s="145">
        <f t="shared" si="1"/>
        <v>38469.736055404705</v>
      </c>
      <c r="AA10" s="145">
        <f t="shared" si="1"/>
        <v>37782.166176811588</v>
      </c>
    </row>
    <row r="11" spans="1:27" s="148" customFormat="1" ht="45" x14ac:dyDescent="0.25">
      <c r="A11" s="230" t="s">
        <v>29</v>
      </c>
      <c r="B11" s="146">
        <v>85427</v>
      </c>
      <c r="C11" s="153">
        <v>91926</v>
      </c>
      <c r="D11" s="146">
        <v>99342.999999999985</v>
      </c>
      <c r="E11" s="146">
        <v>102346</v>
      </c>
      <c r="F11" s="146">
        <v>102185</v>
      </c>
      <c r="G11" s="146">
        <v>107647</v>
      </c>
      <c r="H11" s="146">
        <v>115063</v>
      </c>
      <c r="I11" s="146">
        <v>119453.00000000001</v>
      </c>
      <c r="J11" s="146">
        <v>125149</v>
      </c>
      <c r="K11" s="146">
        <v>131063</v>
      </c>
      <c r="L11" s="146">
        <v>135429</v>
      </c>
      <c r="M11" s="146">
        <v>139066</v>
      </c>
      <c r="N11" s="146">
        <v>141652</v>
      </c>
      <c r="O11" s="146">
        <v>145438</v>
      </c>
      <c r="P11" s="146">
        <v>150890</v>
      </c>
      <c r="Q11" s="146">
        <v>130235</v>
      </c>
      <c r="R11" s="152">
        <v>156814.99999999997</v>
      </c>
      <c r="S11" s="146">
        <v>175451</v>
      </c>
      <c r="T11" s="153">
        <v>169067.00000000006</v>
      </c>
      <c r="U11" s="146">
        <v>171151</v>
      </c>
      <c r="V11" s="146">
        <v>179021.7773381015</v>
      </c>
      <c r="W11" s="146">
        <f t="shared" si="1"/>
        <v>184241.49767305734</v>
      </c>
      <c r="X11" s="146">
        <f t="shared" si="1"/>
        <v>191163.84045685895</v>
      </c>
      <c r="Y11" s="146">
        <f t="shared" si="1"/>
        <v>197541.92801607211</v>
      </c>
      <c r="Z11" s="146">
        <f t="shared" si="1"/>
        <v>204548.40671636674</v>
      </c>
      <c r="AA11" s="146">
        <f t="shared" si="1"/>
        <v>211588.22856841571</v>
      </c>
    </row>
    <row r="12" spans="1:27" s="148" customFormat="1" ht="32.25" customHeight="1" x14ac:dyDescent="0.25">
      <c r="A12" s="231" t="s">
        <v>31</v>
      </c>
      <c r="B12" s="145">
        <v>12730</v>
      </c>
      <c r="C12" s="155">
        <v>14629</v>
      </c>
      <c r="D12" s="145">
        <v>16761</v>
      </c>
      <c r="E12" s="145">
        <v>17120</v>
      </c>
      <c r="F12" s="145">
        <v>15669</v>
      </c>
      <c r="G12" s="145">
        <v>18256</v>
      </c>
      <c r="H12" s="145">
        <v>20153</v>
      </c>
      <c r="I12" s="145">
        <v>20415</v>
      </c>
      <c r="J12" s="145">
        <v>22218</v>
      </c>
      <c r="K12" s="145">
        <v>23654.000000000004</v>
      </c>
      <c r="L12" s="145">
        <v>23961.000000000004</v>
      </c>
      <c r="M12" s="145">
        <v>23803.999999999996</v>
      </c>
      <c r="N12" s="145">
        <v>23758</v>
      </c>
      <c r="O12" s="145">
        <v>24595</v>
      </c>
      <c r="P12" s="145">
        <v>24820.999999999996</v>
      </c>
      <c r="Q12" s="145">
        <v>24132.999999999996</v>
      </c>
      <c r="R12" s="154">
        <v>27210</v>
      </c>
      <c r="S12" s="145">
        <v>30564</v>
      </c>
      <c r="T12" s="155">
        <v>31034</v>
      </c>
      <c r="U12" s="145">
        <v>30969.000000000004</v>
      </c>
      <c r="V12" s="145">
        <v>31269.035070523441</v>
      </c>
      <c r="W12" s="145">
        <f t="shared" si="1"/>
        <v>31387.759873728442</v>
      </c>
      <c r="X12" s="145">
        <f t="shared" si="1"/>
        <v>31599.393725413145</v>
      </c>
      <c r="Y12" s="145">
        <f t="shared" si="1"/>
        <v>31765.913696060685</v>
      </c>
      <c r="Z12" s="145">
        <f t="shared" si="1"/>
        <v>31956.704226475271</v>
      </c>
      <c r="AA12" s="145">
        <f t="shared" si="1"/>
        <v>32136.873897564514</v>
      </c>
    </row>
    <row r="13" spans="1:27" s="148" customFormat="1" ht="29.25" customHeight="1" x14ac:dyDescent="0.25">
      <c r="A13" s="230" t="s">
        <v>33</v>
      </c>
      <c r="B13" s="146">
        <v>15424</v>
      </c>
      <c r="C13" s="153">
        <v>16440</v>
      </c>
      <c r="D13" s="146">
        <v>18702</v>
      </c>
      <c r="E13" s="146">
        <v>20598</v>
      </c>
      <c r="F13" s="146">
        <v>21315</v>
      </c>
      <c r="G13" s="146">
        <v>22312.000000000004</v>
      </c>
      <c r="H13" s="146">
        <v>24754</v>
      </c>
      <c r="I13" s="146">
        <v>26625.999999999996</v>
      </c>
      <c r="J13" s="146">
        <v>29160</v>
      </c>
      <c r="K13" s="146">
        <v>32139</v>
      </c>
      <c r="L13" s="146">
        <v>34695.999999999993</v>
      </c>
      <c r="M13" s="146">
        <v>35726</v>
      </c>
      <c r="N13" s="146">
        <v>37651</v>
      </c>
      <c r="O13" s="146">
        <v>39057</v>
      </c>
      <c r="P13" s="146">
        <v>41505.000000000007</v>
      </c>
      <c r="Q13" s="146">
        <v>42433</v>
      </c>
      <c r="R13" s="152">
        <v>44002.999999999993</v>
      </c>
      <c r="S13" s="146">
        <v>46940</v>
      </c>
      <c r="T13" s="153">
        <v>51134.999999999993</v>
      </c>
      <c r="U13" s="146">
        <v>51684.000000000007</v>
      </c>
      <c r="V13" s="146">
        <v>53112.341726684856</v>
      </c>
      <c r="W13" s="146">
        <f t="shared" si="1"/>
        <v>54131.364106798661</v>
      </c>
      <c r="X13" s="146">
        <f t="shared" si="1"/>
        <v>55398.63946936612</v>
      </c>
      <c r="Y13" s="146">
        <f t="shared" si="1"/>
        <v>56578.555150443826</v>
      </c>
      <c r="Z13" s="146">
        <f t="shared" si="1"/>
        <v>57843.361702283335</v>
      </c>
      <c r="AA13" s="146">
        <f t="shared" si="1"/>
        <v>59105.894744615689</v>
      </c>
    </row>
    <row r="14" spans="1:27" s="148" customFormat="1" ht="24.75" customHeight="1" x14ac:dyDescent="0.25">
      <c r="A14" s="231" t="s">
        <v>35</v>
      </c>
      <c r="B14" s="145">
        <v>50233</v>
      </c>
      <c r="C14" s="155">
        <v>52265</v>
      </c>
      <c r="D14" s="145">
        <v>54225</v>
      </c>
      <c r="E14" s="145">
        <v>55731</v>
      </c>
      <c r="F14" s="145">
        <v>57866</v>
      </c>
      <c r="G14" s="145">
        <v>59932</v>
      </c>
      <c r="H14" s="145">
        <v>61628</v>
      </c>
      <c r="I14" s="145">
        <v>63579</v>
      </c>
      <c r="J14" s="145">
        <v>65625</v>
      </c>
      <c r="K14" s="145">
        <v>67664</v>
      </c>
      <c r="L14" s="145">
        <v>69824.999999999985</v>
      </c>
      <c r="M14" s="145">
        <v>72289</v>
      </c>
      <c r="N14" s="145">
        <v>74495</v>
      </c>
      <c r="O14" s="145">
        <v>77449</v>
      </c>
      <c r="P14" s="145">
        <v>79964</v>
      </c>
      <c r="Q14" s="145">
        <v>81118</v>
      </c>
      <c r="R14" s="154">
        <v>83143</v>
      </c>
      <c r="S14" s="145">
        <v>84843</v>
      </c>
      <c r="T14" s="155">
        <v>86413</v>
      </c>
      <c r="U14" s="145">
        <v>88322</v>
      </c>
      <c r="V14" s="145">
        <v>90073.804942443036</v>
      </c>
      <c r="W14" s="145">
        <f t="shared" si="1"/>
        <v>91962.0168139624</v>
      </c>
      <c r="X14" s="145">
        <f t="shared" si="1"/>
        <v>93837.915048749011</v>
      </c>
      <c r="Y14" s="145">
        <f t="shared" si="1"/>
        <v>95778.556378827387</v>
      </c>
      <c r="Z14" s="145">
        <f t="shared" si="1"/>
        <v>97745.819220150268</v>
      </c>
      <c r="AA14" s="145">
        <f t="shared" si="1"/>
        <v>99760.384054742477</v>
      </c>
    </row>
    <row r="15" spans="1:27" s="148" customFormat="1" ht="30" x14ac:dyDescent="0.25">
      <c r="A15" s="230" t="s">
        <v>37</v>
      </c>
      <c r="B15" s="146">
        <v>36057</v>
      </c>
      <c r="C15" s="153">
        <v>38592</v>
      </c>
      <c r="D15" s="146">
        <v>41246</v>
      </c>
      <c r="E15" s="146">
        <v>42799.999999999993</v>
      </c>
      <c r="F15" s="146">
        <v>43998</v>
      </c>
      <c r="G15" s="146">
        <v>45354</v>
      </c>
      <c r="H15" s="146">
        <v>48568</v>
      </c>
      <c r="I15" s="146">
        <v>50907</v>
      </c>
      <c r="J15" s="146">
        <v>53593</v>
      </c>
      <c r="K15" s="146">
        <v>57500</v>
      </c>
      <c r="L15" s="146">
        <v>57392</v>
      </c>
      <c r="M15" s="146">
        <v>55994.999999999993</v>
      </c>
      <c r="N15" s="146">
        <v>56810</v>
      </c>
      <c r="O15" s="146">
        <v>59065.999999999993</v>
      </c>
      <c r="P15" s="146">
        <v>61102</v>
      </c>
      <c r="Q15" s="146">
        <v>57564</v>
      </c>
      <c r="R15" s="152">
        <v>63167</v>
      </c>
      <c r="S15" s="146">
        <v>68132.000000000015</v>
      </c>
      <c r="T15" s="153">
        <v>69437.000000000015</v>
      </c>
      <c r="U15" s="146">
        <v>69146.000000000015</v>
      </c>
      <c r="V15" s="146">
        <v>70073.645866340899</v>
      </c>
      <c r="W15" s="146">
        <f t="shared" si="1"/>
        <v>70396.857291394525</v>
      </c>
      <c r="X15" s="146">
        <f t="shared" si="1"/>
        <v>71031.421934031372</v>
      </c>
      <c r="Y15" s="146">
        <f t="shared" si="1"/>
        <v>71515.378832675109</v>
      </c>
      <c r="Z15" s="146">
        <f t="shared" si="1"/>
        <v>72081.329505158486</v>
      </c>
      <c r="AA15" s="146">
        <f t="shared" si="1"/>
        <v>72612.099326968688</v>
      </c>
    </row>
    <row r="16" spans="1:27" s="148" customFormat="1" ht="45" x14ac:dyDescent="0.25">
      <c r="A16" s="231" t="s">
        <v>39</v>
      </c>
      <c r="B16" s="145">
        <v>71182</v>
      </c>
      <c r="C16" s="155">
        <v>74469</v>
      </c>
      <c r="D16" s="145">
        <v>77514</v>
      </c>
      <c r="E16" s="145">
        <v>79167</v>
      </c>
      <c r="F16" s="145">
        <v>81581</v>
      </c>
      <c r="G16" s="145">
        <v>85362.000000000015</v>
      </c>
      <c r="H16" s="145">
        <v>90265</v>
      </c>
      <c r="I16" s="145">
        <v>95283</v>
      </c>
      <c r="J16" s="145">
        <v>100531</v>
      </c>
      <c r="K16" s="145">
        <v>106408</v>
      </c>
      <c r="L16" s="145">
        <v>112077</v>
      </c>
      <c r="M16" s="145">
        <v>116197.99999999999</v>
      </c>
      <c r="N16" s="145">
        <v>120222</v>
      </c>
      <c r="O16" s="145">
        <v>125916</v>
      </c>
      <c r="P16" s="145">
        <v>132333</v>
      </c>
      <c r="Q16" s="145">
        <v>132742</v>
      </c>
      <c r="R16" s="154">
        <v>143974.00000000003</v>
      </c>
      <c r="S16" s="145">
        <v>145589</v>
      </c>
      <c r="T16" s="155">
        <v>152772</v>
      </c>
      <c r="U16" s="145">
        <v>158980</v>
      </c>
      <c r="V16" s="145">
        <v>166116.39565643322</v>
      </c>
      <c r="W16" s="145">
        <f t="shared" si="1"/>
        <v>173219.89457829096</v>
      </c>
      <c r="X16" s="145">
        <f t="shared" si="1"/>
        <v>180811.32714686374</v>
      </c>
      <c r="Y16" s="145">
        <f t="shared" si="1"/>
        <v>188639.33534712496</v>
      </c>
      <c r="Z16" s="145">
        <f t="shared" si="1"/>
        <v>196856.38945759783</v>
      </c>
      <c r="AA16" s="145">
        <f t="shared" si="1"/>
        <v>205405.21221519986</v>
      </c>
    </row>
    <row r="17" spans="1:27" s="148" customFormat="1" ht="60" x14ac:dyDescent="0.25">
      <c r="A17" s="230" t="s">
        <v>41</v>
      </c>
      <c r="B17" s="146">
        <v>12775.999999999998</v>
      </c>
      <c r="C17" s="153">
        <v>13424</v>
      </c>
      <c r="D17" s="146">
        <v>14135</v>
      </c>
      <c r="E17" s="146">
        <v>14558</v>
      </c>
      <c r="F17" s="146">
        <v>14897</v>
      </c>
      <c r="G17" s="146">
        <v>15259</v>
      </c>
      <c r="H17" s="146">
        <v>16188</v>
      </c>
      <c r="I17" s="146">
        <v>16677</v>
      </c>
      <c r="J17" s="146">
        <v>17718</v>
      </c>
      <c r="K17" s="146">
        <v>18210</v>
      </c>
      <c r="L17" s="146">
        <v>18982</v>
      </c>
      <c r="M17" s="146">
        <v>20034</v>
      </c>
      <c r="N17" s="146">
        <v>20456</v>
      </c>
      <c r="O17" s="146">
        <v>20925</v>
      </c>
      <c r="P17" s="146">
        <v>23653</v>
      </c>
      <c r="Q17" s="146">
        <v>20864.999999999996</v>
      </c>
      <c r="R17" s="152">
        <v>28048</v>
      </c>
      <c r="S17" s="146">
        <v>35932</v>
      </c>
      <c r="T17" s="153">
        <v>39661</v>
      </c>
      <c r="U17" s="146">
        <v>42910</v>
      </c>
      <c r="V17" s="146">
        <v>47155.337358818259</v>
      </c>
      <c r="W17" s="146">
        <f t="shared" si="1"/>
        <v>51419.479377001742</v>
      </c>
      <c r="X17" s="146">
        <f t="shared" si="1"/>
        <v>56287.963332090119</v>
      </c>
      <c r="Y17" s="146">
        <f t="shared" si="1"/>
        <v>61497.675032291809</v>
      </c>
      <c r="Z17" s="146">
        <f t="shared" si="1"/>
        <v>67254.974704848195</v>
      </c>
      <c r="AA17" s="146">
        <f t="shared" si="1"/>
        <v>73515.498162954973</v>
      </c>
    </row>
    <row r="18" spans="1:27" s="148" customFormat="1" ht="30.75" customHeight="1" thickBot="1" x14ac:dyDescent="0.3">
      <c r="A18" s="231" t="s">
        <v>45</v>
      </c>
      <c r="B18" s="147">
        <v>42525</v>
      </c>
      <c r="C18" s="155">
        <v>47626.999999999993</v>
      </c>
      <c r="D18" s="145">
        <v>52812.999999999993</v>
      </c>
      <c r="E18" s="145">
        <v>55501</v>
      </c>
      <c r="F18" s="145">
        <v>54615</v>
      </c>
      <c r="G18" s="145">
        <v>58006</v>
      </c>
      <c r="H18" s="145">
        <v>64001</v>
      </c>
      <c r="I18" s="145">
        <v>66872.999999999985</v>
      </c>
      <c r="J18" s="145">
        <v>69095</v>
      </c>
      <c r="K18" s="145">
        <v>72899</v>
      </c>
      <c r="L18" s="145">
        <v>74149</v>
      </c>
      <c r="M18" s="145">
        <v>74955</v>
      </c>
      <c r="N18" s="145">
        <v>75773</v>
      </c>
      <c r="O18" s="145">
        <v>78088.000000000015</v>
      </c>
      <c r="P18" s="145">
        <v>81489</v>
      </c>
      <c r="Q18" s="145">
        <v>76490</v>
      </c>
      <c r="R18" s="154">
        <v>88640</v>
      </c>
      <c r="S18" s="145">
        <v>102860</v>
      </c>
      <c r="T18" s="155">
        <v>100274</v>
      </c>
      <c r="U18" s="145">
        <v>100775</v>
      </c>
      <c r="V18" s="145">
        <v>103267.18155407908</v>
      </c>
      <c r="W18" s="145">
        <f t="shared" si="1"/>
        <v>104802.0657830838</v>
      </c>
      <c r="X18" s="145">
        <f t="shared" si="1"/>
        <v>106876.80033012755</v>
      </c>
      <c r="Y18" s="145">
        <f t="shared" si="1"/>
        <v>108728.97146511993</v>
      </c>
      <c r="Z18" s="145">
        <f t="shared" si="1"/>
        <v>110747.34321329654</v>
      </c>
      <c r="AA18" s="145">
        <f t="shared" si="1"/>
        <v>112734.88669002496</v>
      </c>
    </row>
    <row r="19" spans="1:27" s="143" customFormat="1" ht="43.5" customHeight="1" x14ac:dyDescent="0.25">
      <c r="A19" s="209" t="s">
        <v>77</v>
      </c>
      <c r="B19" s="176">
        <f>SUM(B6:B18)</f>
        <v>517438</v>
      </c>
      <c r="C19" s="177">
        <f t="shared" ref="C19:V19" si="2">SUM(C6:C18)</f>
        <v>552139</v>
      </c>
      <c r="D19" s="177">
        <f t="shared" si="2"/>
        <v>588990</v>
      </c>
      <c r="E19" s="177">
        <f t="shared" si="2"/>
        <v>608384</v>
      </c>
      <c r="F19" s="177">
        <f t="shared" si="2"/>
        <v>614390</v>
      </c>
      <c r="G19" s="178">
        <f t="shared" si="2"/>
        <v>640461</v>
      </c>
      <c r="H19" s="178">
        <f t="shared" si="2"/>
        <v>683340</v>
      </c>
      <c r="I19" s="178">
        <f t="shared" si="2"/>
        <v>709685</v>
      </c>
      <c r="J19" s="178">
        <f t="shared" si="2"/>
        <v>745880</v>
      </c>
      <c r="K19" s="178">
        <f t="shared" si="2"/>
        <v>781017</v>
      </c>
      <c r="L19" s="178">
        <f t="shared" si="2"/>
        <v>804692</v>
      </c>
      <c r="M19" s="178">
        <f t="shared" si="2"/>
        <v>821489</v>
      </c>
      <c r="N19" s="178">
        <f t="shared" si="2"/>
        <v>831956</v>
      </c>
      <c r="O19" s="178">
        <f t="shared" si="2"/>
        <v>853167</v>
      </c>
      <c r="P19" s="178">
        <f t="shared" si="2"/>
        <v>880280</v>
      </c>
      <c r="Q19" s="178">
        <f t="shared" si="2"/>
        <v>817375</v>
      </c>
      <c r="R19" s="178">
        <f t="shared" si="2"/>
        <v>905132</v>
      </c>
      <c r="S19" s="178">
        <f t="shared" si="2"/>
        <v>973165</v>
      </c>
      <c r="T19" s="178">
        <f t="shared" si="2"/>
        <v>982221</v>
      </c>
      <c r="U19" s="178">
        <f t="shared" si="2"/>
        <v>996471</v>
      </c>
      <c r="V19" s="178">
        <f t="shared" si="2"/>
        <v>1023465.1349187322</v>
      </c>
      <c r="W19" s="178">
        <f>SUM(W6:W18)</f>
        <v>1045802.5597860662</v>
      </c>
      <c r="X19" s="178">
        <f t="shared" ref="X19:AA19" si="3">SUM(X6:X18)</f>
        <v>1072462.9902129185</v>
      </c>
      <c r="Y19" s="178">
        <f t="shared" si="3"/>
        <v>1098886.0177344962</v>
      </c>
      <c r="Z19" s="178">
        <f t="shared" si="3"/>
        <v>1127514.6315809824</v>
      </c>
      <c r="AA19" s="178">
        <f t="shared" si="3"/>
        <v>1157192.6819513717</v>
      </c>
    </row>
    <row r="20" spans="1:27" ht="15.75" thickBot="1" x14ac:dyDescent="0.3">
      <c r="A20" s="232" t="s">
        <v>85</v>
      </c>
      <c r="B20" s="158">
        <v>0</v>
      </c>
      <c r="C20" s="160">
        <f>(C19/B19)-1</f>
        <v>6.7063107077562911E-2</v>
      </c>
      <c r="D20" s="160">
        <f t="shared" ref="D20:AA20" si="4">(D19/C19)-1</f>
        <v>6.6742251498264071E-2</v>
      </c>
      <c r="E20" s="160">
        <f t="shared" si="4"/>
        <v>3.2927553948284283E-2</v>
      </c>
      <c r="F20" s="160">
        <f t="shared" si="4"/>
        <v>9.8720544918997621E-3</v>
      </c>
      <c r="G20" s="160">
        <f t="shared" si="4"/>
        <v>4.2433958886049616E-2</v>
      </c>
      <c r="H20" s="160">
        <f t="shared" si="4"/>
        <v>6.6950212425112454E-2</v>
      </c>
      <c r="I20" s="160">
        <f t="shared" si="4"/>
        <v>3.8553282407000955E-2</v>
      </c>
      <c r="J20" s="160">
        <f t="shared" si="4"/>
        <v>5.1001500665788235E-2</v>
      </c>
      <c r="K20" s="160">
        <f t="shared" si="4"/>
        <v>4.7108113905722115E-2</v>
      </c>
      <c r="L20" s="160">
        <f t="shared" si="4"/>
        <v>3.0313040561217086E-2</v>
      </c>
      <c r="M20" s="160">
        <f t="shared" si="4"/>
        <v>2.0873825016279435E-2</v>
      </c>
      <c r="N20" s="160">
        <f t="shared" si="4"/>
        <v>1.2741497451578709E-2</v>
      </c>
      <c r="O20" s="160">
        <f t="shared" si="4"/>
        <v>2.5495338695796343E-2</v>
      </c>
      <c r="P20" s="160">
        <f t="shared" si="4"/>
        <v>3.1779241344308984E-2</v>
      </c>
      <c r="Q20" s="160">
        <f t="shared" si="4"/>
        <v>-7.146021720361706E-2</v>
      </c>
      <c r="R20" s="160">
        <f t="shared" si="4"/>
        <v>0.10736442881174502</v>
      </c>
      <c r="S20" s="160">
        <f t="shared" si="4"/>
        <v>7.5163622543452213E-2</v>
      </c>
      <c r="T20" s="160">
        <f t="shared" si="4"/>
        <v>9.3057189685201713E-3</v>
      </c>
      <c r="U20" s="160">
        <f t="shared" si="4"/>
        <v>1.4507936604898575E-2</v>
      </c>
      <c r="V20" s="160">
        <f t="shared" si="4"/>
        <v>2.7089734592107728E-2</v>
      </c>
      <c r="W20" s="160">
        <f t="shared" si="4"/>
        <v>2.182529145861678E-2</v>
      </c>
      <c r="X20" s="160">
        <f t="shared" si="4"/>
        <v>2.5492795152754377E-2</v>
      </c>
      <c r="Y20" s="160">
        <f t="shared" si="4"/>
        <v>2.4637705694936729E-2</v>
      </c>
      <c r="Z20" s="160">
        <f t="shared" si="4"/>
        <v>2.6052396139781608E-2</v>
      </c>
      <c r="AA20" s="159">
        <f t="shared" si="4"/>
        <v>2.6321654317492449E-2</v>
      </c>
    </row>
    <row r="22" spans="1:27" ht="15.75" thickBot="1" x14ac:dyDescent="0.3"/>
    <row r="23" spans="1:27" ht="15.75" thickBot="1" x14ac:dyDescent="0.3">
      <c r="A23" s="263" t="s">
        <v>83</v>
      </c>
    </row>
    <row r="24" spans="1:27" ht="15.75" thickBot="1" x14ac:dyDescent="0.3">
      <c r="A24" s="264"/>
      <c r="W24" s="187" t="s">
        <v>76</v>
      </c>
      <c r="X24" s="188"/>
      <c r="Y24" s="188"/>
      <c r="Z24" s="188"/>
      <c r="AA24" s="189"/>
    </row>
    <row r="25" spans="1:27" ht="19.5" thickBot="1" x14ac:dyDescent="0.3">
      <c r="A25" s="233" t="s">
        <v>10</v>
      </c>
      <c r="B25" s="157">
        <v>2005</v>
      </c>
      <c r="C25" s="156">
        <v>2006</v>
      </c>
      <c r="D25" s="156">
        <v>2007</v>
      </c>
      <c r="E25" s="156">
        <v>2008</v>
      </c>
      <c r="F25" s="156">
        <v>2009</v>
      </c>
      <c r="G25" s="156">
        <v>2010</v>
      </c>
      <c r="H25" s="156">
        <v>2011</v>
      </c>
      <c r="I25" s="156">
        <v>2012</v>
      </c>
      <c r="J25" s="156">
        <v>2013</v>
      </c>
      <c r="K25" s="234">
        <v>2014</v>
      </c>
      <c r="L25" s="156">
        <v>2015</v>
      </c>
      <c r="M25" s="156">
        <v>2016</v>
      </c>
      <c r="N25" s="156">
        <v>2017</v>
      </c>
      <c r="O25" s="156">
        <v>2018</v>
      </c>
      <c r="P25" s="156">
        <v>2019</v>
      </c>
      <c r="Q25" s="156">
        <v>2020</v>
      </c>
      <c r="R25" s="156">
        <v>2021</v>
      </c>
      <c r="S25" s="156">
        <v>2022</v>
      </c>
      <c r="T25" s="157">
        <v>2023</v>
      </c>
      <c r="U25" s="156">
        <v>2024</v>
      </c>
      <c r="V25" s="156">
        <v>2025</v>
      </c>
      <c r="W25" s="156">
        <v>2026</v>
      </c>
      <c r="X25" s="156">
        <v>2027</v>
      </c>
      <c r="Y25" s="156">
        <v>2028</v>
      </c>
      <c r="Z25" s="156">
        <v>2029</v>
      </c>
      <c r="AA25" s="156">
        <v>2030</v>
      </c>
    </row>
    <row r="26" spans="1:27" x14ac:dyDescent="0.25">
      <c r="A26" s="229" t="s">
        <v>19</v>
      </c>
      <c r="B26" s="235">
        <v>0</v>
      </c>
      <c r="C26" s="235">
        <f>(C6/B6)-1</f>
        <v>2.1314199794244093E-2</v>
      </c>
      <c r="D26" s="235">
        <f>(D6/C6)-1</f>
        <v>3.9310897021979985E-2</v>
      </c>
      <c r="E26" s="236">
        <f t="shared" ref="D26:V37" si="5">(E6/D6)-1</f>
        <v>-8.0518899575040548E-3</v>
      </c>
      <c r="F26" s="236">
        <f t="shared" si="5"/>
        <v>-2.3299511461855049E-3</v>
      </c>
      <c r="G26" s="236">
        <f t="shared" si="5"/>
        <v>3.0385214203203503E-3</v>
      </c>
      <c r="H26" s="236">
        <f t="shared" si="5"/>
        <v>1.9102220664447112E-2</v>
      </c>
      <c r="I26" s="236">
        <f>(I6/H6)-1</f>
        <v>2.5033164644032713E-2</v>
      </c>
      <c r="J26" s="236">
        <f t="shared" si="5"/>
        <v>7.453565008987395E-2</v>
      </c>
      <c r="K26" s="235">
        <f t="shared" si="5"/>
        <v>2.9106724657076199E-2</v>
      </c>
      <c r="L26" s="235">
        <f t="shared" si="5"/>
        <v>4.299956653662762E-2</v>
      </c>
      <c r="M26" s="235">
        <f t="shared" si="5"/>
        <v>2.7366802427063464E-2</v>
      </c>
      <c r="N26" s="235">
        <f t="shared" si="5"/>
        <v>5.5763435205598677E-2</v>
      </c>
      <c r="O26" s="235">
        <f t="shared" si="5"/>
        <v>1.5939308019464304E-2</v>
      </c>
      <c r="P26" s="235">
        <f t="shared" si="5"/>
        <v>2.7173298133132295E-2</v>
      </c>
      <c r="Q26" s="235">
        <f t="shared" si="5"/>
        <v>1.9606763231811319E-2</v>
      </c>
      <c r="R26" s="235">
        <f t="shared" si="5"/>
        <v>4.3735033039845828E-2</v>
      </c>
      <c r="S26" s="238">
        <f t="shared" si="5"/>
        <v>-9.073971846536022E-3</v>
      </c>
      <c r="T26" s="235">
        <f t="shared" si="5"/>
        <v>1.6486194770377161E-2</v>
      </c>
      <c r="U26" s="235">
        <f t="shared" si="5"/>
        <v>6.1278665502063401E-2</v>
      </c>
      <c r="V26" s="235">
        <f t="shared" si="5"/>
        <v>3.100232307625661E-2</v>
      </c>
      <c r="W26" s="235">
        <f>AVERAGE(U26:V26)</f>
        <v>4.6140494289160006E-2</v>
      </c>
      <c r="X26" s="235">
        <f t="shared" ref="X26:AA38" si="6">AVERAGE(V26:W26)</f>
        <v>3.8571408682708308E-2</v>
      </c>
      <c r="Y26" s="235">
        <f t="shared" si="6"/>
        <v>4.2355951485934157E-2</v>
      </c>
      <c r="Z26" s="235">
        <f t="shared" si="6"/>
        <v>4.0463680084321232E-2</v>
      </c>
      <c r="AA26" s="235">
        <f t="shared" si="6"/>
        <v>4.1409815785127695E-2</v>
      </c>
    </row>
    <row r="27" spans="1:27" x14ac:dyDescent="0.25">
      <c r="A27" s="230" t="s">
        <v>21</v>
      </c>
      <c r="B27" s="236">
        <v>0</v>
      </c>
      <c r="C27" s="236">
        <f t="shared" ref="C27:R29" si="7">(C7/B7)-1</f>
        <v>2.2931097338680262E-2</v>
      </c>
      <c r="D27" s="236">
        <f t="shared" si="7"/>
        <v>1.3364695819523043E-2</v>
      </c>
      <c r="E27" s="236">
        <f t="shared" si="7"/>
        <v>9.379615952732645E-2</v>
      </c>
      <c r="F27" s="236">
        <f t="shared" si="7"/>
        <v>0.11440146619079772</v>
      </c>
      <c r="G27" s="236">
        <f t="shared" si="7"/>
        <v>0.10871635073141173</v>
      </c>
      <c r="H27" s="236">
        <f t="shared" si="7"/>
        <v>0.14435162776173005</v>
      </c>
      <c r="I27" s="236">
        <f t="shared" si="7"/>
        <v>5.3690817301132565E-2</v>
      </c>
      <c r="J27" s="236">
        <f t="shared" si="7"/>
        <v>5.3070033452034204E-2</v>
      </c>
      <c r="K27" s="236">
        <f t="shared" si="7"/>
        <v>-1.3485264581710843E-2</v>
      </c>
      <c r="L27" s="236">
        <f t="shared" si="7"/>
        <v>-1.0574206415157161E-2</v>
      </c>
      <c r="M27" s="236">
        <f t="shared" si="7"/>
        <v>-2.8849182186574729E-2</v>
      </c>
      <c r="N27" s="236">
        <f t="shared" si="7"/>
        <v>-5.7531403368430101E-2</v>
      </c>
      <c r="O27" s="236">
        <f t="shared" si="7"/>
        <v>-1.6608552027894907E-2</v>
      </c>
      <c r="P27" s="236">
        <f t="shared" si="7"/>
        <v>1.9245124568442407E-2</v>
      </c>
      <c r="Q27" s="236">
        <f t="shared" si="7"/>
        <v>-0.15190076213581094</v>
      </c>
      <c r="R27" s="236">
        <f t="shared" si="7"/>
        <v>-2.0509499136444065E-3</v>
      </c>
      <c r="S27" s="239">
        <f t="shared" si="5"/>
        <v>1.4548404542996218E-2</v>
      </c>
      <c r="T27" s="236">
        <f t="shared" si="5"/>
        <v>2.5667679513833086E-2</v>
      </c>
      <c r="U27" s="236">
        <f t="shared" si="5"/>
        <v>-3.4120734908136274E-2</v>
      </c>
      <c r="V27" s="236">
        <f t="shared" si="5"/>
        <v>-6.1873733747030757E-2</v>
      </c>
      <c r="W27" s="236">
        <f t="shared" ref="W27:W38" si="8">AVERAGE(U27:V27)</f>
        <v>-4.7997234327583516E-2</v>
      </c>
      <c r="X27" s="236">
        <f t="shared" si="6"/>
        <v>-5.4935484037307136E-2</v>
      </c>
      <c r="Y27" s="236">
        <f t="shared" si="6"/>
        <v>-5.1466359182445326E-2</v>
      </c>
      <c r="Z27" s="236">
        <f t="shared" si="6"/>
        <v>-5.3200921609876231E-2</v>
      </c>
      <c r="AA27" s="236">
        <f t="shared" si="6"/>
        <v>-5.2333640396160779E-2</v>
      </c>
    </row>
    <row r="28" spans="1:27" x14ac:dyDescent="0.25">
      <c r="A28" s="231" t="s">
        <v>23</v>
      </c>
      <c r="B28" s="236">
        <v>0</v>
      </c>
      <c r="C28" s="236">
        <f t="shared" si="7"/>
        <v>7.2917206027028447E-2</v>
      </c>
      <c r="D28" s="236">
        <f t="shared" si="7"/>
        <v>7.7637690776376944E-2</v>
      </c>
      <c r="E28" s="236">
        <f t="shared" si="7"/>
        <v>3.5714285714285587E-3</v>
      </c>
      <c r="F28" s="236">
        <f t="shared" si="7"/>
        <v>-3.6646995169513308E-2</v>
      </c>
      <c r="G28" s="236">
        <f t="shared" si="7"/>
        <v>1.8829469393426779E-2</v>
      </c>
      <c r="H28" s="236">
        <f t="shared" si="7"/>
        <v>5.5876335530802734E-2</v>
      </c>
      <c r="I28" s="236">
        <f t="shared" si="7"/>
        <v>8.2996038580775977E-3</v>
      </c>
      <c r="J28" s="236">
        <f t="shared" si="7"/>
        <v>1.5096031686720135E-2</v>
      </c>
      <c r="K28" s="236">
        <f t="shared" si="7"/>
        <v>2.8901673310124831E-2</v>
      </c>
      <c r="L28" s="236">
        <f t="shared" si="7"/>
        <v>2.0034958959000093E-2</v>
      </c>
      <c r="M28" s="236">
        <f t="shared" si="7"/>
        <v>3.2238022226898533E-2</v>
      </c>
      <c r="N28" s="236">
        <f t="shared" si="7"/>
        <v>-1.8163990447158329E-2</v>
      </c>
      <c r="O28" s="236">
        <f t="shared" si="7"/>
        <v>1.4752558461462062E-2</v>
      </c>
      <c r="P28" s="236">
        <f t="shared" si="7"/>
        <v>1.2014382180128402E-2</v>
      </c>
      <c r="Q28" s="236">
        <f t="shared" si="7"/>
        <v>-9.2489890236857386E-2</v>
      </c>
      <c r="R28" s="236">
        <f t="shared" si="7"/>
        <v>0.13593057058586377</v>
      </c>
      <c r="S28" s="239">
        <f t="shared" si="5"/>
        <v>8.1594530476528426E-2</v>
      </c>
      <c r="T28" s="236">
        <f t="shared" si="5"/>
        <v>-1.6208701058703423E-2</v>
      </c>
      <c r="U28" s="236">
        <f t="shared" si="5"/>
        <v>-2.5648452929559085E-2</v>
      </c>
      <c r="V28" s="236">
        <f t="shared" si="5"/>
        <v>1.85000575147094E-2</v>
      </c>
      <c r="W28" s="236">
        <f t="shared" si="8"/>
        <v>-3.5741977074248421E-3</v>
      </c>
      <c r="X28" s="236">
        <f t="shared" si="6"/>
        <v>7.4629299036422792E-3</v>
      </c>
      <c r="Y28" s="236">
        <f t="shared" si="6"/>
        <v>1.9443660981087185E-3</v>
      </c>
      <c r="Z28" s="236">
        <f t="shared" si="6"/>
        <v>4.7036480008754988E-3</v>
      </c>
      <c r="AA28" s="236">
        <f t="shared" si="6"/>
        <v>3.3240070494921087E-3</v>
      </c>
    </row>
    <row r="29" spans="1:27" ht="45" x14ac:dyDescent="0.25">
      <c r="A29" s="230" t="s">
        <v>25</v>
      </c>
      <c r="B29" s="236">
        <v>0</v>
      </c>
      <c r="C29" s="236">
        <f t="shared" si="7"/>
        <v>5.3197752207653215E-2</v>
      </c>
      <c r="D29" s="236">
        <f t="shared" si="7"/>
        <v>4.2278571065602844E-2</v>
      </c>
      <c r="E29" s="236">
        <f t="shared" si="7"/>
        <v>5.2654673102237037E-3</v>
      </c>
      <c r="F29" s="236">
        <f t="shared" si="7"/>
        <v>2.3958484892574905E-2</v>
      </c>
      <c r="G29" s="236">
        <f t="shared" si="7"/>
        <v>3.8933358594231082E-2</v>
      </c>
      <c r="H29" s="236">
        <f t="shared" si="7"/>
        <v>3.0681559152039961E-2</v>
      </c>
      <c r="I29" s="236">
        <f t="shared" si="7"/>
        <v>2.1496815286624171E-2</v>
      </c>
      <c r="J29" s="236">
        <f t="shared" si="7"/>
        <v>3.7065904563956087E-2</v>
      </c>
      <c r="K29" s="236">
        <f t="shared" si="7"/>
        <v>3.4363256784968543E-2</v>
      </c>
      <c r="L29" s="236">
        <f t="shared" si="7"/>
        <v>-7.0237758850362209E-3</v>
      </c>
      <c r="M29" s="236">
        <f t="shared" si="7"/>
        <v>-8.1304118053293628E-5</v>
      </c>
      <c r="N29" s="236">
        <f t="shared" si="7"/>
        <v>2.8865308777493048E-2</v>
      </c>
      <c r="O29" s="236">
        <f t="shared" si="7"/>
        <v>2.5487019401746913E-2</v>
      </c>
      <c r="P29" s="236">
        <f t="shared" si="7"/>
        <v>2.5200369913686904E-2</v>
      </c>
      <c r="Q29" s="236">
        <f t="shared" si="7"/>
        <v>-3.8299631662031208E-2</v>
      </c>
      <c r="R29" s="236">
        <f t="shared" si="7"/>
        <v>5.8310860984093438E-2</v>
      </c>
      <c r="S29" s="239">
        <f t="shared" si="5"/>
        <v>4.6087373979836865E-2</v>
      </c>
      <c r="T29" s="236">
        <f t="shared" si="5"/>
        <v>3.1559995763758897E-2</v>
      </c>
      <c r="U29" s="236">
        <f t="shared" si="5"/>
        <v>2.48793675781116E-2</v>
      </c>
      <c r="V29" s="236">
        <f t="shared" si="5"/>
        <v>1.140651910951207E-2</v>
      </c>
      <c r="W29" s="236">
        <f t="shared" si="8"/>
        <v>1.8142943343811835E-2</v>
      </c>
      <c r="X29" s="236">
        <f t="shared" si="6"/>
        <v>1.4774731226661952E-2</v>
      </c>
      <c r="Y29" s="236">
        <f t="shared" si="6"/>
        <v>1.6458837285236894E-2</v>
      </c>
      <c r="Z29" s="236">
        <f t="shared" si="6"/>
        <v>1.5616784255949423E-2</v>
      </c>
      <c r="AA29" s="236">
        <f t="shared" si="6"/>
        <v>1.6037810770593158E-2</v>
      </c>
    </row>
    <row r="30" spans="1:27" x14ac:dyDescent="0.25">
      <c r="A30" s="231" t="s">
        <v>27</v>
      </c>
      <c r="B30" s="236">
        <v>0</v>
      </c>
      <c r="C30" s="236">
        <f t="shared" ref="C30:R38" si="9">(C10/B10)-1</f>
        <v>0.12141035963499736</v>
      </c>
      <c r="D30" s="236">
        <f t="shared" si="9"/>
        <v>6.9404972028599632E-2</v>
      </c>
      <c r="E30" s="236">
        <f t="shared" si="9"/>
        <v>9.9085237922063474E-2</v>
      </c>
      <c r="F30" s="236">
        <f t="shared" si="9"/>
        <v>2.6139631958054466E-2</v>
      </c>
      <c r="G30" s="236">
        <f t="shared" si="9"/>
        <v>-6.6474848695304845E-3</v>
      </c>
      <c r="H30" s="236">
        <f t="shared" si="9"/>
        <v>6.2125449460647131E-2</v>
      </c>
      <c r="I30" s="236">
        <f t="shared" si="9"/>
        <v>5.9126387060372432E-2</v>
      </c>
      <c r="J30" s="236">
        <f t="shared" si="9"/>
        <v>0.11276109298350767</v>
      </c>
      <c r="K30" s="236">
        <f t="shared" si="9"/>
        <v>8.918633181065605E-2</v>
      </c>
      <c r="L30" s="236">
        <f t="shared" si="9"/>
        <v>6.3001355261712133E-2</v>
      </c>
      <c r="M30" s="236">
        <f t="shared" si="9"/>
        <v>3.588780538230929E-2</v>
      </c>
      <c r="N30" s="236">
        <f t="shared" si="9"/>
        <v>-2.0257796257796112E-2</v>
      </c>
      <c r="O30" s="236">
        <f t="shared" si="9"/>
        <v>-1.2748909297706557E-2</v>
      </c>
      <c r="P30" s="236">
        <f t="shared" si="9"/>
        <v>-3.8912579957356086E-2</v>
      </c>
      <c r="Q30" s="236">
        <f t="shared" si="9"/>
        <v>-0.29581521836365909</v>
      </c>
      <c r="R30" s="236">
        <f t="shared" si="9"/>
        <v>4.2684011280774481E-2</v>
      </c>
      <c r="S30" s="239">
        <f t="shared" si="5"/>
        <v>6.6424620482955277E-2</v>
      </c>
      <c r="T30" s="236">
        <f t="shared" si="5"/>
        <v>-3.0915114817776757E-2</v>
      </c>
      <c r="U30" s="236">
        <f t="shared" si="5"/>
        <v>8.4881637272471444E-4</v>
      </c>
      <c r="V30" s="236">
        <f t="shared" si="5"/>
        <v>-2.7679677050644891E-2</v>
      </c>
      <c r="W30" s="236">
        <f t="shared" si="8"/>
        <v>-1.3415430338960088E-2</v>
      </c>
      <c r="X30" s="236">
        <f t="shared" si="6"/>
        <v>-2.0547553694802489E-2</v>
      </c>
      <c r="Y30" s="236">
        <f t="shared" si="6"/>
        <v>-1.6981492016881289E-2</v>
      </c>
      <c r="Z30" s="236">
        <f t="shared" si="6"/>
        <v>-1.8764522855841889E-2</v>
      </c>
      <c r="AA30" s="236">
        <f t="shared" si="6"/>
        <v>-1.7873007436361589E-2</v>
      </c>
    </row>
    <row r="31" spans="1:27" ht="45" x14ac:dyDescent="0.25">
      <c r="A31" s="230" t="s">
        <v>29</v>
      </c>
      <c r="B31" s="236">
        <v>0</v>
      </c>
      <c r="C31" s="236">
        <f t="shared" si="9"/>
        <v>7.6076650239385701E-2</v>
      </c>
      <c r="D31" s="236">
        <f t="shared" si="9"/>
        <v>8.0684463590279032E-2</v>
      </c>
      <c r="E31" s="236">
        <f t="shared" si="9"/>
        <v>3.022860191457899E-2</v>
      </c>
      <c r="F31" s="236">
        <f t="shared" si="9"/>
        <v>-1.5730951869149523E-3</v>
      </c>
      <c r="G31" s="236">
        <f t="shared" si="9"/>
        <v>5.3452072221950475E-2</v>
      </c>
      <c r="H31" s="236">
        <f t="shared" si="9"/>
        <v>6.8891840924503178E-2</v>
      </c>
      <c r="I31" s="236">
        <f t="shared" si="9"/>
        <v>3.8153011828302885E-2</v>
      </c>
      <c r="J31" s="236">
        <f t="shared" si="9"/>
        <v>4.7684026353461029E-2</v>
      </c>
      <c r="K31" s="236">
        <f t="shared" si="9"/>
        <v>4.7255671239882169E-2</v>
      </c>
      <c r="L31" s="236">
        <f t="shared" si="9"/>
        <v>3.3312223892326687E-2</v>
      </c>
      <c r="M31" s="236">
        <f t="shared" si="9"/>
        <v>2.6855400246623695E-2</v>
      </c>
      <c r="N31" s="236">
        <f t="shared" si="9"/>
        <v>1.8595487034932967E-2</v>
      </c>
      <c r="O31" s="236">
        <f t="shared" si="9"/>
        <v>2.6727472961906695E-2</v>
      </c>
      <c r="P31" s="236">
        <f t="shared" si="9"/>
        <v>3.7486764119418536E-2</v>
      </c>
      <c r="Q31" s="236">
        <f t="shared" si="9"/>
        <v>-0.13688779905891713</v>
      </c>
      <c r="R31" s="236">
        <f t="shared" si="9"/>
        <v>0.20409260183514388</v>
      </c>
      <c r="S31" s="239">
        <f t="shared" si="5"/>
        <v>0.11884067212957961</v>
      </c>
      <c r="T31" s="236">
        <f t="shared" si="5"/>
        <v>-3.6386227493715895E-2</v>
      </c>
      <c r="U31" s="236">
        <f t="shared" si="5"/>
        <v>1.2326474119727315E-2</v>
      </c>
      <c r="V31" s="236">
        <f t="shared" si="5"/>
        <v>4.5987328955726214E-2</v>
      </c>
      <c r="W31" s="236">
        <f t="shared" si="8"/>
        <v>2.9156901537726765E-2</v>
      </c>
      <c r="X31" s="236">
        <f t="shared" si="6"/>
        <v>3.757211524672649E-2</v>
      </c>
      <c r="Y31" s="236">
        <f t="shared" si="6"/>
        <v>3.3364508392226627E-2</v>
      </c>
      <c r="Z31" s="236">
        <f t="shared" si="6"/>
        <v>3.5468311819476558E-2</v>
      </c>
      <c r="AA31" s="236">
        <f t="shared" si="6"/>
        <v>3.4416410105851593E-2</v>
      </c>
    </row>
    <row r="32" spans="1:27" x14ac:dyDescent="0.25">
      <c r="A32" s="231" t="s">
        <v>31</v>
      </c>
      <c r="B32" s="236">
        <v>0</v>
      </c>
      <c r="C32" s="236">
        <f t="shared" si="9"/>
        <v>0.14917517674783976</v>
      </c>
      <c r="D32" s="236">
        <f t="shared" si="9"/>
        <v>0.14573791783443846</v>
      </c>
      <c r="E32" s="236">
        <f t="shared" si="9"/>
        <v>2.1418769763140721E-2</v>
      </c>
      <c r="F32" s="236">
        <f t="shared" si="9"/>
        <v>-8.4754672897196293E-2</v>
      </c>
      <c r="G32" s="236">
        <f t="shared" si="9"/>
        <v>0.16510306975556821</v>
      </c>
      <c r="H32" s="236">
        <f t="shared" si="9"/>
        <v>0.10391104294478537</v>
      </c>
      <c r="I32" s="236">
        <f t="shared" si="9"/>
        <v>1.3000545824443099E-2</v>
      </c>
      <c r="J32" s="236">
        <f t="shared" si="9"/>
        <v>8.8317413666421762E-2</v>
      </c>
      <c r="K32" s="236">
        <f t="shared" si="9"/>
        <v>6.4632280133225528E-2</v>
      </c>
      <c r="L32" s="236">
        <f t="shared" si="9"/>
        <v>1.2978777373805706E-2</v>
      </c>
      <c r="M32" s="236">
        <f t="shared" si="9"/>
        <v>-6.5523141772049209E-3</v>
      </c>
      <c r="N32" s="236">
        <f t="shared" si="9"/>
        <v>-1.932448328011982E-3</v>
      </c>
      <c r="O32" s="236">
        <f t="shared" si="9"/>
        <v>3.5230238235541611E-2</v>
      </c>
      <c r="P32" s="236">
        <f t="shared" si="9"/>
        <v>9.1888595242934912E-3</v>
      </c>
      <c r="Q32" s="236">
        <f t="shared" si="9"/>
        <v>-2.7718464203698501E-2</v>
      </c>
      <c r="R32" s="236">
        <f t="shared" si="9"/>
        <v>0.12750176107404809</v>
      </c>
      <c r="S32" s="239">
        <f t="shared" si="5"/>
        <v>0.12326350606394709</v>
      </c>
      <c r="T32" s="236">
        <f t="shared" si="5"/>
        <v>1.5377568381101936E-2</v>
      </c>
      <c r="U32" s="236">
        <f t="shared" si="5"/>
        <v>-2.0944770251980493E-3</v>
      </c>
      <c r="V32" s="236">
        <f t="shared" si="5"/>
        <v>9.6882389009473879E-3</v>
      </c>
      <c r="W32" s="236">
        <f t="shared" si="8"/>
        <v>3.7968809378746693E-3</v>
      </c>
      <c r="X32" s="236">
        <f t="shared" si="6"/>
        <v>6.7425599194110286E-3</v>
      </c>
      <c r="Y32" s="236">
        <f t="shared" si="6"/>
        <v>5.269720428642849E-3</v>
      </c>
      <c r="Z32" s="236">
        <f t="shared" si="6"/>
        <v>6.0061401740269388E-3</v>
      </c>
      <c r="AA32" s="236">
        <f t="shared" si="6"/>
        <v>5.6379303013348939E-3</v>
      </c>
    </row>
    <row r="33" spans="1:27" x14ac:dyDescent="0.25">
      <c r="A33" s="230" t="s">
        <v>33</v>
      </c>
      <c r="B33" s="236">
        <v>0</v>
      </c>
      <c r="C33" s="236">
        <f t="shared" si="9"/>
        <v>6.5871369294605797E-2</v>
      </c>
      <c r="D33" s="236">
        <f t="shared" si="9"/>
        <v>0.13759124087591235</v>
      </c>
      <c r="E33" s="236">
        <f t="shared" si="9"/>
        <v>0.1013795316008983</v>
      </c>
      <c r="F33" s="236">
        <f t="shared" si="9"/>
        <v>3.4809204777162872E-2</v>
      </c>
      <c r="G33" s="236">
        <f t="shared" si="9"/>
        <v>4.6774571897724826E-2</v>
      </c>
      <c r="H33" s="236">
        <f t="shared" si="9"/>
        <v>0.10944783076371434</v>
      </c>
      <c r="I33" s="236">
        <f t="shared" si="9"/>
        <v>7.562414155288022E-2</v>
      </c>
      <c r="J33" s="236">
        <f t="shared" si="9"/>
        <v>9.5170134455044186E-2</v>
      </c>
      <c r="K33" s="236">
        <f t="shared" si="9"/>
        <v>0.10216049382716053</v>
      </c>
      <c r="L33" s="236">
        <f t="shared" si="9"/>
        <v>7.9560658390117611E-2</v>
      </c>
      <c r="M33" s="236">
        <f t="shared" si="9"/>
        <v>2.9686419183767798E-2</v>
      </c>
      <c r="N33" s="236">
        <f t="shared" si="9"/>
        <v>5.3882326596876196E-2</v>
      </c>
      <c r="O33" s="236">
        <f t="shared" si="9"/>
        <v>3.7342965658282656E-2</v>
      </c>
      <c r="P33" s="236">
        <f t="shared" si="9"/>
        <v>6.2677625009601501E-2</v>
      </c>
      <c r="Q33" s="236">
        <f t="shared" si="9"/>
        <v>2.2358751957595402E-2</v>
      </c>
      <c r="R33" s="236">
        <f t="shared" si="9"/>
        <v>3.699950510216099E-2</v>
      </c>
      <c r="S33" s="239">
        <f t="shared" si="5"/>
        <v>6.6745449173920113E-2</v>
      </c>
      <c r="T33" s="236">
        <f t="shared" si="5"/>
        <v>8.9369407754580132E-2</v>
      </c>
      <c r="U33" s="236">
        <f t="shared" si="5"/>
        <v>1.0736286300968345E-2</v>
      </c>
      <c r="V33" s="236">
        <f t="shared" si="5"/>
        <v>2.7636052292486113E-2</v>
      </c>
      <c r="W33" s="236">
        <f t="shared" si="8"/>
        <v>1.9186169296727229E-2</v>
      </c>
      <c r="X33" s="236">
        <f t="shared" si="6"/>
        <v>2.3411110794606671E-2</v>
      </c>
      <c r="Y33" s="236">
        <f t="shared" si="6"/>
        <v>2.129864004566695E-2</v>
      </c>
      <c r="Z33" s="236">
        <f t="shared" si="6"/>
        <v>2.2354875420136811E-2</v>
      </c>
      <c r="AA33" s="236">
        <f t="shared" si="6"/>
        <v>2.182675773290188E-2</v>
      </c>
    </row>
    <row r="34" spans="1:27" x14ac:dyDescent="0.25">
      <c r="A34" s="231" t="s">
        <v>35</v>
      </c>
      <c r="B34" s="236">
        <v>0</v>
      </c>
      <c r="C34" s="236">
        <f t="shared" si="9"/>
        <v>4.0451496028507172E-2</v>
      </c>
      <c r="D34" s="236">
        <f t="shared" si="9"/>
        <v>3.7501195828948619E-2</v>
      </c>
      <c r="E34" s="236">
        <f t="shared" si="9"/>
        <v>2.7773167358229545E-2</v>
      </c>
      <c r="F34" s="236">
        <f t="shared" si="9"/>
        <v>3.8309020114478454E-2</v>
      </c>
      <c r="G34" s="236">
        <f t="shared" si="9"/>
        <v>3.5703176303874429E-2</v>
      </c>
      <c r="H34" s="236">
        <f t="shared" si="9"/>
        <v>2.8298738570379678E-2</v>
      </c>
      <c r="I34" s="236">
        <f t="shared" si="9"/>
        <v>3.165768806386704E-2</v>
      </c>
      <c r="J34" s="236">
        <f t="shared" si="9"/>
        <v>3.2180436936724455E-2</v>
      </c>
      <c r="K34" s="236">
        <f t="shared" si="9"/>
        <v>3.1070476190476093E-2</v>
      </c>
      <c r="L34" s="236">
        <f t="shared" si="9"/>
        <v>3.1937219200756539E-2</v>
      </c>
      <c r="M34" s="236">
        <f t="shared" si="9"/>
        <v>3.5288220551378702E-2</v>
      </c>
      <c r="N34" s="236">
        <f t="shared" si="9"/>
        <v>3.0516399452198861E-2</v>
      </c>
      <c r="O34" s="236">
        <f t="shared" si="9"/>
        <v>3.965366803141146E-2</v>
      </c>
      <c r="P34" s="236">
        <f t="shared" si="9"/>
        <v>3.2472982220558055E-2</v>
      </c>
      <c r="Q34" s="236">
        <f t="shared" si="9"/>
        <v>1.4431494172377546E-2</v>
      </c>
      <c r="R34" s="236">
        <f t="shared" si="9"/>
        <v>2.49636332256713E-2</v>
      </c>
      <c r="S34" s="239">
        <f t="shared" si="5"/>
        <v>2.0446700263401674E-2</v>
      </c>
      <c r="T34" s="236">
        <f t="shared" si="5"/>
        <v>1.8504767629621721E-2</v>
      </c>
      <c r="U34" s="236">
        <f t="shared" si="5"/>
        <v>2.2091583442306106E-2</v>
      </c>
      <c r="V34" s="236">
        <f t="shared" si="5"/>
        <v>1.9834298843357745E-2</v>
      </c>
      <c r="W34" s="236">
        <f t="shared" si="8"/>
        <v>2.0962941142831926E-2</v>
      </c>
      <c r="X34" s="236">
        <f t="shared" si="6"/>
        <v>2.0398619993094835E-2</v>
      </c>
      <c r="Y34" s="236">
        <f t="shared" si="6"/>
        <v>2.068078056796338E-2</v>
      </c>
      <c r="Z34" s="236">
        <f t="shared" si="6"/>
        <v>2.0539700280529108E-2</v>
      </c>
      <c r="AA34" s="236">
        <f t="shared" si="6"/>
        <v>2.0610240424246244E-2</v>
      </c>
    </row>
    <row r="35" spans="1:27" ht="30" x14ac:dyDescent="0.25">
      <c r="A35" s="230" t="s">
        <v>37</v>
      </c>
      <c r="B35" s="236">
        <v>0</v>
      </c>
      <c r="C35" s="236">
        <f t="shared" si="9"/>
        <v>7.0305349862717303E-2</v>
      </c>
      <c r="D35" s="236">
        <f t="shared" si="9"/>
        <v>6.8770729684908716E-2</v>
      </c>
      <c r="E35" s="236">
        <f t="shared" si="9"/>
        <v>3.7676380739950277E-2</v>
      </c>
      <c r="F35" s="236">
        <f t="shared" si="9"/>
        <v>2.7990654205607646E-2</v>
      </c>
      <c r="G35" s="236">
        <f t="shared" si="9"/>
        <v>3.0819582708304871E-2</v>
      </c>
      <c r="H35" s="236">
        <f t="shared" si="9"/>
        <v>7.0864752833267097E-2</v>
      </c>
      <c r="I35" s="236">
        <f t="shared" si="9"/>
        <v>4.815928183165874E-2</v>
      </c>
      <c r="J35" s="236">
        <f t="shared" si="9"/>
        <v>5.2762881332626188E-2</v>
      </c>
      <c r="K35" s="236">
        <f t="shared" si="9"/>
        <v>7.2901311738473362E-2</v>
      </c>
      <c r="L35" s="236">
        <f t="shared" si="9"/>
        <v>-1.8782608695652181E-3</v>
      </c>
      <c r="M35" s="236">
        <f t="shared" si="9"/>
        <v>-2.4341371619738039E-2</v>
      </c>
      <c r="N35" s="236">
        <f t="shared" si="9"/>
        <v>1.4554870970622469E-2</v>
      </c>
      <c r="O35" s="236">
        <f t="shared" si="9"/>
        <v>3.971131842985387E-2</v>
      </c>
      <c r="P35" s="236">
        <f t="shared" si="9"/>
        <v>3.446991501032759E-2</v>
      </c>
      <c r="Q35" s="236">
        <f t="shared" si="9"/>
        <v>-5.7903178292036284E-2</v>
      </c>
      <c r="R35" s="236">
        <f t="shared" si="9"/>
        <v>9.7335140018066868E-2</v>
      </c>
      <c r="S35" s="239">
        <f t="shared" si="5"/>
        <v>7.8601168331565718E-2</v>
      </c>
      <c r="T35" s="236">
        <f t="shared" si="5"/>
        <v>1.9153995185815731E-2</v>
      </c>
      <c r="U35" s="236">
        <f t="shared" si="5"/>
        <v>-4.1908492590405633E-3</v>
      </c>
      <c r="V35" s="236">
        <f t="shared" si="5"/>
        <v>1.3415756028416492E-2</v>
      </c>
      <c r="W35" s="236">
        <f t="shared" si="8"/>
        <v>4.6124533846879645E-3</v>
      </c>
      <c r="X35" s="236">
        <f t="shared" si="6"/>
        <v>9.0141047065522284E-3</v>
      </c>
      <c r="Y35" s="236">
        <f t="shared" si="6"/>
        <v>6.8132790456200965E-3</v>
      </c>
      <c r="Z35" s="236">
        <f t="shared" si="6"/>
        <v>7.9136918760861624E-3</v>
      </c>
      <c r="AA35" s="236">
        <f t="shared" si="6"/>
        <v>7.3634854608531294E-3</v>
      </c>
    </row>
    <row r="36" spans="1:27" ht="45" x14ac:dyDescent="0.25">
      <c r="A36" s="231" t="s">
        <v>39</v>
      </c>
      <c r="B36" s="236">
        <v>0</v>
      </c>
      <c r="C36" s="236">
        <f t="shared" si="9"/>
        <v>4.6177404399988742E-2</v>
      </c>
      <c r="D36" s="236">
        <f t="shared" si="9"/>
        <v>4.0889497643314732E-2</v>
      </c>
      <c r="E36" s="236">
        <f t="shared" si="9"/>
        <v>2.1325179967489838E-2</v>
      </c>
      <c r="F36" s="236">
        <f t="shared" si="9"/>
        <v>3.0492503189460285E-2</v>
      </c>
      <c r="G36" s="236">
        <f t="shared" si="9"/>
        <v>4.634657579583501E-2</v>
      </c>
      <c r="H36" s="236">
        <f t="shared" si="9"/>
        <v>5.7437735760642816E-2</v>
      </c>
      <c r="I36" s="236">
        <f t="shared" si="9"/>
        <v>5.5591868387525611E-2</v>
      </c>
      <c r="J36" s="236">
        <f t="shared" si="9"/>
        <v>5.507803070852102E-2</v>
      </c>
      <c r="K36" s="236">
        <f t="shared" si="9"/>
        <v>5.8459579632153202E-2</v>
      </c>
      <c r="L36" s="236">
        <f t="shared" si="9"/>
        <v>5.3276069468461085E-2</v>
      </c>
      <c r="M36" s="236">
        <f t="shared" si="9"/>
        <v>3.6769363919448184E-2</v>
      </c>
      <c r="N36" s="236">
        <f t="shared" si="9"/>
        <v>3.4630544415566566E-2</v>
      </c>
      <c r="O36" s="236">
        <f t="shared" si="9"/>
        <v>4.7362379597744253E-2</v>
      </c>
      <c r="P36" s="236">
        <f t="shared" si="9"/>
        <v>5.0962546459544456E-2</v>
      </c>
      <c r="Q36" s="236">
        <f t="shared" si="9"/>
        <v>3.0906878858636411E-3</v>
      </c>
      <c r="R36" s="236">
        <f t="shared" si="9"/>
        <v>8.4615268716758951E-2</v>
      </c>
      <c r="S36" s="239">
        <f t="shared" si="5"/>
        <v>1.1217303124174904E-2</v>
      </c>
      <c r="T36" s="236">
        <f t="shared" si="5"/>
        <v>4.9337518631215271E-2</v>
      </c>
      <c r="U36" s="236">
        <f t="shared" si="5"/>
        <v>4.063571858717574E-2</v>
      </c>
      <c r="V36" s="236">
        <f t="shared" si="5"/>
        <v>4.4888637919443974E-2</v>
      </c>
      <c r="W36" s="236">
        <f t="shared" si="8"/>
        <v>4.2762178253309857E-2</v>
      </c>
      <c r="X36" s="236">
        <f t="shared" si="6"/>
        <v>4.3825408086376916E-2</v>
      </c>
      <c r="Y36" s="236">
        <f t="shared" si="6"/>
        <v>4.3293793169843386E-2</v>
      </c>
      <c r="Z36" s="236">
        <f t="shared" si="6"/>
        <v>4.3559600628110151E-2</v>
      </c>
      <c r="AA36" s="236">
        <f t="shared" si="6"/>
        <v>4.3426696898976769E-2</v>
      </c>
    </row>
    <row r="37" spans="1:27" ht="60" x14ac:dyDescent="0.25">
      <c r="A37" s="230" t="s">
        <v>41</v>
      </c>
      <c r="B37" s="236">
        <v>0</v>
      </c>
      <c r="C37" s="236">
        <f t="shared" si="9"/>
        <v>5.0720100187852335E-2</v>
      </c>
      <c r="D37" s="236">
        <f t="shared" si="9"/>
        <v>5.2964839094159721E-2</v>
      </c>
      <c r="E37" s="236">
        <f t="shared" si="9"/>
        <v>2.9925716307039218E-2</v>
      </c>
      <c r="F37" s="236">
        <f t="shared" si="9"/>
        <v>2.3286165682099291E-2</v>
      </c>
      <c r="G37" s="236">
        <f t="shared" si="9"/>
        <v>2.4300194670067832E-2</v>
      </c>
      <c r="H37" s="236">
        <f t="shared" si="9"/>
        <v>6.0882102365816815E-2</v>
      </c>
      <c r="I37" s="236">
        <f t="shared" si="9"/>
        <v>3.0207561156412099E-2</v>
      </c>
      <c r="J37" s="236">
        <f t="shared" si="9"/>
        <v>6.2421298794747226E-2</v>
      </c>
      <c r="K37" s="236">
        <f t="shared" si="9"/>
        <v>2.7768371147985027E-2</v>
      </c>
      <c r="L37" s="236">
        <f t="shared" si="9"/>
        <v>4.2394288852279027E-2</v>
      </c>
      <c r="M37" s="236">
        <f t="shared" si="9"/>
        <v>5.5420925086924422E-2</v>
      </c>
      <c r="N37" s="236">
        <f t="shared" si="9"/>
        <v>2.106419087551159E-2</v>
      </c>
      <c r="O37" s="236">
        <f t="shared" si="9"/>
        <v>2.2927258506061809E-2</v>
      </c>
      <c r="P37" s="236">
        <f t="shared" si="9"/>
        <v>0.13037037037037047</v>
      </c>
      <c r="Q37" s="236">
        <f t="shared" si="9"/>
        <v>-0.11787088318606531</v>
      </c>
      <c r="R37" s="236">
        <f t="shared" si="9"/>
        <v>0.34426072369997618</v>
      </c>
      <c r="S37" s="239">
        <f t="shared" si="5"/>
        <v>0.28108956075299485</v>
      </c>
      <c r="T37" s="236">
        <f t="shared" si="5"/>
        <v>0.10377936101525109</v>
      </c>
      <c r="U37" s="236">
        <f t="shared" si="5"/>
        <v>8.1919265777464112E-2</v>
      </c>
      <c r="V37" s="236">
        <f t="shared" si="5"/>
        <v>9.8935850823077542E-2</v>
      </c>
      <c r="W37" s="236">
        <f t="shared" si="8"/>
        <v>9.0427558300270827E-2</v>
      </c>
      <c r="X37" s="236">
        <f t="shared" si="6"/>
        <v>9.4681704561674185E-2</v>
      </c>
      <c r="Y37" s="236">
        <f t="shared" si="6"/>
        <v>9.2554631430972506E-2</v>
      </c>
      <c r="Z37" s="236">
        <f t="shared" si="6"/>
        <v>9.3618167996323345E-2</v>
      </c>
      <c r="AA37" s="236">
        <f t="shared" si="6"/>
        <v>9.3086399713647933E-2</v>
      </c>
    </row>
    <row r="38" spans="1:27" ht="15.75" thickBot="1" x14ac:dyDescent="0.3">
      <c r="A38" s="232" t="s">
        <v>45</v>
      </c>
      <c r="B38" s="237">
        <v>0</v>
      </c>
      <c r="C38" s="237">
        <f t="shared" si="9"/>
        <v>0.11997648442092879</v>
      </c>
      <c r="D38" s="237">
        <f t="shared" si="9"/>
        <v>0.10888781573477235</v>
      </c>
      <c r="E38" s="237">
        <f t="shared" si="9"/>
        <v>5.0896559559199694E-2</v>
      </c>
      <c r="F38" s="237">
        <f t="shared" si="9"/>
        <v>-1.5963676330156162E-2</v>
      </c>
      <c r="G38" s="237">
        <f t="shared" si="9"/>
        <v>6.208916964203981E-2</v>
      </c>
      <c r="H38" s="237">
        <f t="shared" si="9"/>
        <v>0.1033513774437127</v>
      </c>
      <c r="I38" s="237">
        <f>(I18/H18)-1</f>
        <v>4.4874298839080451E-2</v>
      </c>
      <c r="J38" s="237">
        <f t="shared" ref="J38:V38" si="10">(J18/I18)-1</f>
        <v>3.3227161933815141E-2</v>
      </c>
      <c r="K38" s="237">
        <f t="shared" si="10"/>
        <v>5.5054634922932166E-2</v>
      </c>
      <c r="L38" s="237">
        <f t="shared" si="10"/>
        <v>1.7147011618815045E-2</v>
      </c>
      <c r="M38" s="237">
        <f t="shared" si="10"/>
        <v>1.0870004989952609E-2</v>
      </c>
      <c r="N38" s="237">
        <f t="shared" si="10"/>
        <v>1.0913214595423826E-2</v>
      </c>
      <c r="O38" s="237">
        <f t="shared" si="10"/>
        <v>3.0551779657661982E-2</v>
      </c>
      <c r="P38" s="237">
        <f t="shared" si="10"/>
        <v>4.3553426902981141E-2</v>
      </c>
      <c r="Q38" s="237">
        <f t="shared" si="10"/>
        <v>-6.1345703101032045E-2</v>
      </c>
      <c r="R38" s="237">
        <f t="shared" si="10"/>
        <v>0.15884429337168249</v>
      </c>
      <c r="S38" s="240">
        <f t="shared" si="10"/>
        <v>0.16042418772563183</v>
      </c>
      <c r="T38" s="237">
        <f t="shared" si="10"/>
        <v>-2.5140968306435973E-2</v>
      </c>
      <c r="U38" s="237">
        <f t="shared" si="10"/>
        <v>4.9963101102978857E-3</v>
      </c>
      <c r="V38" s="237">
        <f t="shared" si="10"/>
        <v>2.4730156825394145E-2</v>
      </c>
      <c r="W38" s="237">
        <f t="shared" si="8"/>
        <v>1.4863233467846015E-2</v>
      </c>
      <c r="X38" s="237">
        <f t="shared" si="6"/>
        <v>1.979669514662008E-2</v>
      </c>
      <c r="Y38" s="237">
        <f t="shared" si="6"/>
        <v>1.7329964307233048E-2</v>
      </c>
      <c r="Z38" s="237">
        <f t="shared" si="6"/>
        <v>1.8563329726926564E-2</v>
      </c>
      <c r="AA38" s="237">
        <f t="shared" si="6"/>
        <v>1.7946647017079806E-2</v>
      </c>
    </row>
  </sheetData>
  <mergeCells count="4">
    <mergeCell ref="A1:A2"/>
    <mergeCell ref="W3:AA4"/>
    <mergeCell ref="W24:AA24"/>
    <mergeCell ref="A23:A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42D53-B068-4CE6-9ADD-63183CAD0768}">
  <dimension ref="A1:AD38"/>
  <sheetViews>
    <sheetView topLeftCell="E6" zoomScale="80" zoomScaleNormal="80" workbookViewId="0">
      <selection activeCell="W28" sqref="W28"/>
    </sheetView>
  </sheetViews>
  <sheetFormatPr baseColWidth="10" defaultRowHeight="15" x14ac:dyDescent="0.25"/>
  <cols>
    <col min="1" max="1" width="70.85546875" style="142" customWidth="1"/>
    <col min="2" max="21" width="12.140625" bestFit="1" customWidth="1"/>
    <col min="22" max="27" width="13.85546875" bestFit="1" customWidth="1"/>
    <col min="29" max="30" width="13.42578125" customWidth="1"/>
  </cols>
  <sheetData>
    <row r="1" spans="1:27" x14ac:dyDescent="0.25">
      <c r="A1" s="169" t="s">
        <v>86</v>
      </c>
      <c r="B1" s="282" t="s">
        <v>95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</row>
    <row r="2" spans="1:27" ht="15.75" thickBot="1" x14ac:dyDescent="0.3">
      <c r="A2" s="169"/>
      <c r="B2" s="282"/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</row>
    <row r="3" spans="1:27" x14ac:dyDescent="0.25">
      <c r="A3" s="179"/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W3" s="181" t="s">
        <v>75</v>
      </c>
      <c r="X3" s="182"/>
      <c r="Y3" s="182"/>
      <c r="Z3" s="182"/>
      <c r="AA3" s="183"/>
    </row>
    <row r="4" spans="1:27" ht="15.75" thickBot="1" x14ac:dyDescent="0.3">
      <c r="A4" s="180"/>
      <c r="B4" s="283"/>
      <c r="C4" s="283"/>
      <c r="D4" s="283"/>
      <c r="E4" s="283"/>
      <c r="F4" s="283"/>
      <c r="G4" s="283"/>
      <c r="H4" s="283"/>
      <c r="I4" s="283"/>
      <c r="J4" s="283"/>
      <c r="K4" s="283"/>
      <c r="L4" s="283"/>
      <c r="M4" s="283"/>
      <c r="W4" s="184"/>
      <c r="X4" s="185"/>
      <c r="Y4" s="185"/>
      <c r="Z4" s="185"/>
      <c r="AA4" s="186"/>
    </row>
    <row r="5" spans="1:27" s="144" customFormat="1" ht="19.5" thickBot="1" x14ac:dyDescent="0.35">
      <c r="A5" s="265" t="s">
        <v>10</v>
      </c>
      <c r="B5" s="157">
        <v>2005</v>
      </c>
      <c r="C5" s="156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7" s="148" customFormat="1" ht="26.25" customHeight="1" x14ac:dyDescent="0.25">
      <c r="A6" s="231" t="s">
        <v>19</v>
      </c>
      <c r="B6" s="151">
        <v>37909</v>
      </c>
      <c r="C6" s="155">
        <v>38717</v>
      </c>
      <c r="D6" s="145">
        <v>40239</v>
      </c>
      <c r="E6" s="145">
        <v>39914.999999999993</v>
      </c>
      <c r="F6" s="145">
        <v>39822</v>
      </c>
      <c r="G6" s="145">
        <v>39943</v>
      </c>
      <c r="H6" s="145">
        <v>40706.000000000007</v>
      </c>
      <c r="I6" s="145">
        <v>41725</v>
      </c>
      <c r="J6" s="145">
        <v>44834.999999999993</v>
      </c>
      <c r="K6" s="145">
        <v>46140</v>
      </c>
      <c r="L6" s="145">
        <v>48124</v>
      </c>
      <c r="M6" s="145">
        <v>49441</v>
      </c>
      <c r="N6" s="145">
        <v>52198</v>
      </c>
      <c r="O6" s="145">
        <v>53030</v>
      </c>
      <c r="P6" s="145">
        <v>54471</v>
      </c>
      <c r="Q6" s="145">
        <v>55539</v>
      </c>
      <c r="R6" s="154">
        <v>57968</v>
      </c>
      <c r="S6" s="145">
        <v>57442</v>
      </c>
      <c r="T6" s="155">
        <v>58389</v>
      </c>
      <c r="U6" s="145">
        <v>61966.999999999985</v>
      </c>
      <c r="V6" s="145">
        <v>63888.120954066384</v>
      </c>
      <c r="W6" s="145">
        <f>V6*(1+W26)</f>
        <v>66835.950434092651</v>
      </c>
      <c r="X6" s="145">
        <f t="shared" ref="X6:AA6" si="0">W6*(1+X26)</f>
        <v>69413.907192983272</v>
      </c>
      <c r="Y6" s="145">
        <f t="shared" si="0"/>
        <v>72353.999278498406</v>
      </c>
      <c r="Z6" s="145">
        <f t="shared" si="0"/>
        <v>75281.708358124772</v>
      </c>
      <c r="AA6" s="145">
        <f t="shared" si="0"/>
        <v>78399.110033224424</v>
      </c>
    </row>
    <row r="7" spans="1:27" s="148" customFormat="1" ht="28.5" customHeight="1" x14ac:dyDescent="0.25">
      <c r="A7" s="230" t="s">
        <v>21</v>
      </c>
      <c r="B7" s="146">
        <v>27430</v>
      </c>
      <c r="C7" s="153">
        <v>28059</v>
      </c>
      <c r="D7" s="146">
        <v>28434</v>
      </c>
      <c r="E7" s="146">
        <v>31101</v>
      </c>
      <c r="F7" s="146">
        <v>34659</v>
      </c>
      <c r="G7" s="146">
        <v>38427</v>
      </c>
      <c r="H7" s="146">
        <v>43974</v>
      </c>
      <c r="I7" s="146">
        <v>46335</v>
      </c>
      <c r="J7" s="146">
        <v>48794</v>
      </c>
      <c r="K7" s="146">
        <v>48136</v>
      </c>
      <c r="L7" s="146">
        <v>47626.999999999993</v>
      </c>
      <c r="M7" s="146">
        <v>46253</v>
      </c>
      <c r="N7" s="146">
        <v>43592</v>
      </c>
      <c r="O7" s="146">
        <v>42868.000000000007</v>
      </c>
      <c r="P7" s="146">
        <v>43692.999999999993</v>
      </c>
      <c r="Q7" s="146">
        <v>37056.000000000007</v>
      </c>
      <c r="R7" s="152">
        <v>36980</v>
      </c>
      <c r="S7" s="146">
        <v>37518</v>
      </c>
      <c r="T7" s="153">
        <v>38480.999999999993</v>
      </c>
      <c r="U7" s="146">
        <v>37168</v>
      </c>
      <c r="V7" s="146">
        <v>34868.277064090362</v>
      </c>
      <c r="W7" s="146">
        <f t="shared" ref="W7:AA18" si="1">V7*(1+W27)</f>
        <v>39052.47031178121</v>
      </c>
      <c r="X7" s="146">
        <f t="shared" si="1"/>
        <v>40187.45745537059</v>
      </c>
      <c r="Y7" s="146">
        <f t="shared" si="1"/>
        <v>43182.691615713011</v>
      </c>
      <c r="Z7" s="146">
        <f t="shared" si="1"/>
        <v>45419.440600574948</v>
      </c>
      <c r="AA7" s="146">
        <f t="shared" si="1"/>
        <v>48288.334958041429</v>
      </c>
    </row>
    <row r="8" spans="1:27" s="148" customFormat="1" ht="30" customHeight="1" x14ac:dyDescent="0.25">
      <c r="A8" s="231" t="s">
        <v>23</v>
      </c>
      <c r="B8" s="145">
        <v>77252</v>
      </c>
      <c r="C8" s="155">
        <v>82885</v>
      </c>
      <c r="D8" s="145">
        <v>89320</v>
      </c>
      <c r="E8" s="145">
        <v>89639</v>
      </c>
      <c r="F8" s="145">
        <v>86354</v>
      </c>
      <c r="G8" s="145">
        <v>87979.999999999985</v>
      </c>
      <c r="H8" s="145">
        <v>92896</v>
      </c>
      <c r="I8" s="145">
        <v>93666.999999999985</v>
      </c>
      <c r="J8" s="145">
        <v>95081</v>
      </c>
      <c r="K8" s="145">
        <v>97828.999999999985</v>
      </c>
      <c r="L8" s="145">
        <v>99789</v>
      </c>
      <c r="M8" s="145">
        <v>103005.99999999999</v>
      </c>
      <c r="N8" s="145">
        <v>101135</v>
      </c>
      <c r="O8" s="145">
        <v>102626.99999999997</v>
      </c>
      <c r="P8" s="145">
        <v>103860.00000000001</v>
      </c>
      <c r="Q8" s="145">
        <v>94254</v>
      </c>
      <c r="R8" s="154">
        <v>107066</v>
      </c>
      <c r="S8" s="145">
        <v>115801.99999999999</v>
      </c>
      <c r="T8" s="155">
        <v>113925.00000000001</v>
      </c>
      <c r="U8" s="145">
        <v>111003</v>
      </c>
      <c r="V8" s="145">
        <v>113056.56188430529</v>
      </c>
      <c r="W8" s="145">
        <f t="shared" si="1"/>
        <v>112652.47538000907</v>
      </c>
      <c r="X8" s="145">
        <f t="shared" si="1"/>
        <v>113493.19290724187</v>
      </c>
      <c r="Y8" s="145">
        <f t="shared" si="1"/>
        <v>113713.86522389682</v>
      </c>
      <c r="Z8" s="145">
        <f t="shared" si="1"/>
        <v>114248.73521872904</v>
      </c>
      <c r="AA8" s="145">
        <f t="shared" si="1"/>
        <v>114628.49881999166</v>
      </c>
    </row>
    <row r="9" spans="1:27" s="148" customFormat="1" ht="45" x14ac:dyDescent="0.25">
      <c r="A9" s="230" t="s">
        <v>25</v>
      </c>
      <c r="B9" s="146">
        <v>18685</v>
      </c>
      <c r="C9" s="153">
        <v>19679</v>
      </c>
      <c r="D9" s="146">
        <v>20511</v>
      </c>
      <c r="E9" s="146">
        <v>20619</v>
      </c>
      <c r="F9" s="146">
        <v>21113.000000000004</v>
      </c>
      <c r="G9" s="146">
        <v>21935.000000000004</v>
      </c>
      <c r="H9" s="146">
        <v>22608</v>
      </c>
      <c r="I9" s="146">
        <v>23094</v>
      </c>
      <c r="J9" s="146">
        <v>23950</v>
      </c>
      <c r="K9" s="146">
        <v>24772.999999999996</v>
      </c>
      <c r="L9" s="146">
        <v>24598.999999999993</v>
      </c>
      <c r="M9" s="146">
        <v>24597</v>
      </c>
      <c r="N9" s="146">
        <v>25306.999999999996</v>
      </c>
      <c r="O9" s="146">
        <v>25952.000000000004</v>
      </c>
      <c r="P9" s="146">
        <v>26606.000000000004</v>
      </c>
      <c r="Q9" s="146">
        <v>25587</v>
      </c>
      <c r="R9" s="152">
        <v>27079</v>
      </c>
      <c r="S9" s="146">
        <v>28327</v>
      </c>
      <c r="T9" s="153">
        <v>29221</v>
      </c>
      <c r="U9" s="146">
        <v>29948</v>
      </c>
      <c r="V9" s="146">
        <v>30289.602434291664</v>
      </c>
      <c r="W9" s="146">
        <f t="shared" si="1"/>
        <v>30839.144975163603</v>
      </c>
      <c r="X9" s="146">
        <f t="shared" si="1"/>
        <v>31294.785053431708</v>
      </c>
      <c r="Y9" s="146">
        <f t="shared" si="1"/>
        <v>31809.860828502598</v>
      </c>
      <c r="Z9" s="146">
        <f t="shared" si="1"/>
        <v>32306.628562273097</v>
      </c>
      <c r="AA9" s="146">
        <f t="shared" si="1"/>
        <v>32824.756157790674</v>
      </c>
    </row>
    <row r="10" spans="1:27" s="148" customFormat="1" ht="33.75" customHeight="1" x14ac:dyDescent="0.25">
      <c r="A10" s="231" t="s">
        <v>27</v>
      </c>
      <c r="B10" s="145">
        <v>29808</v>
      </c>
      <c r="C10" s="155">
        <v>33427</v>
      </c>
      <c r="D10" s="145">
        <v>35747</v>
      </c>
      <c r="E10" s="145">
        <v>39289</v>
      </c>
      <c r="F10" s="145">
        <v>40316</v>
      </c>
      <c r="G10" s="145">
        <v>40048.000000000007</v>
      </c>
      <c r="H10" s="145">
        <v>42536</v>
      </c>
      <c r="I10" s="145">
        <v>45051</v>
      </c>
      <c r="J10" s="145">
        <v>50131</v>
      </c>
      <c r="K10" s="145">
        <v>54602</v>
      </c>
      <c r="L10" s="145">
        <v>58042</v>
      </c>
      <c r="M10" s="145">
        <v>60124.999999999993</v>
      </c>
      <c r="N10" s="145">
        <v>58907</v>
      </c>
      <c r="O10" s="145">
        <v>58156</v>
      </c>
      <c r="P10" s="145">
        <v>55893</v>
      </c>
      <c r="Q10" s="145">
        <v>39359</v>
      </c>
      <c r="R10" s="154">
        <v>41039</v>
      </c>
      <c r="S10" s="145">
        <v>43765</v>
      </c>
      <c r="T10" s="155">
        <v>42412</v>
      </c>
      <c r="U10" s="145">
        <v>42448</v>
      </c>
      <c r="V10" s="145">
        <v>41273.053068554225</v>
      </c>
      <c r="W10" s="145">
        <f t="shared" si="1"/>
        <v>40719.357300236836</v>
      </c>
      <c r="X10" s="145">
        <f t="shared" si="1"/>
        <v>39882.674119692369</v>
      </c>
      <c r="Y10" s="145">
        <f t="shared" si="1"/>
        <v>39205.406807516934</v>
      </c>
      <c r="Z10" s="145">
        <f t="shared" si="1"/>
        <v>38469.736055404705</v>
      </c>
      <c r="AA10" s="145">
        <f t="shared" si="1"/>
        <v>37782.166176811588</v>
      </c>
    </row>
    <row r="11" spans="1:27" s="148" customFormat="1" ht="45" x14ac:dyDescent="0.25">
      <c r="A11" s="230" t="s">
        <v>29</v>
      </c>
      <c r="B11" s="146">
        <v>85427</v>
      </c>
      <c r="C11" s="153">
        <v>91926</v>
      </c>
      <c r="D11" s="146">
        <v>99342.999999999985</v>
      </c>
      <c r="E11" s="146">
        <v>102346</v>
      </c>
      <c r="F11" s="146">
        <v>102185</v>
      </c>
      <c r="G11" s="146">
        <v>107647</v>
      </c>
      <c r="H11" s="146">
        <v>115063</v>
      </c>
      <c r="I11" s="146">
        <v>119453.00000000001</v>
      </c>
      <c r="J11" s="146">
        <v>125149</v>
      </c>
      <c r="K11" s="146">
        <v>131063</v>
      </c>
      <c r="L11" s="146">
        <v>135429</v>
      </c>
      <c r="M11" s="146">
        <v>139066</v>
      </c>
      <c r="N11" s="146">
        <v>141652</v>
      </c>
      <c r="O11" s="146">
        <v>145438</v>
      </c>
      <c r="P11" s="146">
        <v>150890</v>
      </c>
      <c r="Q11" s="146">
        <v>130235</v>
      </c>
      <c r="R11" s="152">
        <v>156814.99999999997</v>
      </c>
      <c r="S11" s="146">
        <v>175451</v>
      </c>
      <c r="T11" s="153">
        <v>169067.00000000006</v>
      </c>
      <c r="U11" s="146">
        <v>171151</v>
      </c>
      <c r="V11" s="146">
        <v>179021.7773381015</v>
      </c>
      <c r="W11" s="146">
        <f t="shared" si="1"/>
        <v>184241.49767305734</v>
      </c>
      <c r="X11" s="146">
        <f t="shared" si="1"/>
        <v>191163.84045685895</v>
      </c>
      <c r="Y11" s="146">
        <f t="shared" si="1"/>
        <v>197541.92801607211</v>
      </c>
      <c r="Z11" s="146">
        <f t="shared" si="1"/>
        <v>204548.40671636674</v>
      </c>
      <c r="AA11" s="146">
        <f t="shared" si="1"/>
        <v>211588.22856841571</v>
      </c>
    </row>
    <row r="12" spans="1:27" s="148" customFormat="1" ht="32.25" customHeight="1" x14ac:dyDescent="0.25">
      <c r="A12" s="231" t="s">
        <v>31</v>
      </c>
      <c r="B12" s="145">
        <v>12730</v>
      </c>
      <c r="C12" s="155">
        <v>14629</v>
      </c>
      <c r="D12" s="145">
        <v>16761</v>
      </c>
      <c r="E12" s="145">
        <v>17120</v>
      </c>
      <c r="F12" s="145">
        <v>15669</v>
      </c>
      <c r="G12" s="145">
        <v>18256</v>
      </c>
      <c r="H12" s="145">
        <v>20153</v>
      </c>
      <c r="I12" s="145">
        <v>20415</v>
      </c>
      <c r="J12" s="145">
        <v>22218</v>
      </c>
      <c r="K12" s="145">
        <v>23654.000000000004</v>
      </c>
      <c r="L12" s="145">
        <v>23961.000000000004</v>
      </c>
      <c r="M12" s="145">
        <v>23803.999999999996</v>
      </c>
      <c r="N12" s="145">
        <v>23758</v>
      </c>
      <c r="O12" s="145">
        <v>24595</v>
      </c>
      <c r="P12" s="145">
        <v>24820.999999999996</v>
      </c>
      <c r="Q12" s="145">
        <v>24132.999999999996</v>
      </c>
      <c r="R12" s="154">
        <v>27210</v>
      </c>
      <c r="S12" s="145">
        <v>30564</v>
      </c>
      <c r="T12" s="155">
        <v>31034</v>
      </c>
      <c r="U12" s="145">
        <v>30969.000000000004</v>
      </c>
      <c r="V12" s="145">
        <v>31269.035070523441</v>
      </c>
      <c r="W12" s="145">
        <f t="shared" si="1"/>
        <v>31387.759873728442</v>
      </c>
      <c r="X12" s="145">
        <f t="shared" si="1"/>
        <v>31599.393725413145</v>
      </c>
      <c r="Y12" s="145">
        <f t="shared" si="1"/>
        <v>31765.913696060685</v>
      </c>
      <c r="Z12" s="145">
        <f t="shared" si="1"/>
        <v>31956.704226475271</v>
      </c>
      <c r="AA12" s="145">
        <f t="shared" si="1"/>
        <v>32136.873897564514</v>
      </c>
    </row>
    <row r="13" spans="1:27" s="148" customFormat="1" ht="29.25" customHeight="1" x14ac:dyDescent="0.25">
      <c r="A13" s="230" t="s">
        <v>33</v>
      </c>
      <c r="B13" s="146">
        <v>15424</v>
      </c>
      <c r="C13" s="153">
        <v>16440</v>
      </c>
      <c r="D13" s="146">
        <v>18702</v>
      </c>
      <c r="E13" s="146">
        <v>20598</v>
      </c>
      <c r="F13" s="146">
        <v>21315</v>
      </c>
      <c r="G13" s="146">
        <v>22312.000000000004</v>
      </c>
      <c r="H13" s="146">
        <v>24754</v>
      </c>
      <c r="I13" s="146">
        <v>26625.999999999996</v>
      </c>
      <c r="J13" s="146">
        <v>29160</v>
      </c>
      <c r="K13" s="146">
        <v>32139</v>
      </c>
      <c r="L13" s="146">
        <v>34695.999999999993</v>
      </c>
      <c r="M13" s="146">
        <v>35726</v>
      </c>
      <c r="N13" s="146">
        <v>37651</v>
      </c>
      <c r="O13" s="146">
        <v>39057</v>
      </c>
      <c r="P13" s="146">
        <v>41505.000000000007</v>
      </c>
      <c r="Q13" s="146">
        <v>42433</v>
      </c>
      <c r="R13" s="152">
        <v>44002.999999999993</v>
      </c>
      <c r="S13" s="146">
        <v>46940</v>
      </c>
      <c r="T13" s="153">
        <v>51134.999999999993</v>
      </c>
      <c r="U13" s="146">
        <v>51684.000000000007</v>
      </c>
      <c r="V13" s="146">
        <v>53112.341726684856</v>
      </c>
      <c r="W13" s="146">
        <f t="shared" si="1"/>
        <v>54131.364106798661</v>
      </c>
      <c r="X13" s="146">
        <f t="shared" si="1"/>
        <v>55398.63946936612</v>
      </c>
      <c r="Y13" s="146">
        <f t="shared" si="1"/>
        <v>56578.555150443826</v>
      </c>
      <c r="Z13" s="146">
        <f t="shared" si="1"/>
        <v>57843.361702283335</v>
      </c>
      <c r="AA13" s="146">
        <f t="shared" si="1"/>
        <v>59105.894744615689</v>
      </c>
    </row>
    <row r="14" spans="1:27" s="148" customFormat="1" ht="24.75" customHeight="1" x14ac:dyDescent="0.25">
      <c r="A14" s="231" t="s">
        <v>35</v>
      </c>
      <c r="B14" s="145">
        <v>50233</v>
      </c>
      <c r="C14" s="155">
        <v>52265</v>
      </c>
      <c r="D14" s="145">
        <v>54225</v>
      </c>
      <c r="E14" s="145">
        <v>55731</v>
      </c>
      <c r="F14" s="145">
        <v>57866</v>
      </c>
      <c r="G14" s="145">
        <v>59932</v>
      </c>
      <c r="H14" s="145">
        <v>61628</v>
      </c>
      <c r="I14" s="145">
        <v>63579</v>
      </c>
      <c r="J14" s="145">
        <v>65625</v>
      </c>
      <c r="K14" s="145">
        <v>67664</v>
      </c>
      <c r="L14" s="145">
        <v>69824.999999999985</v>
      </c>
      <c r="M14" s="145">
        <v>72289</v>
      </c>
      <c r="N14" s="145">
        <v>74495</v>
      </c>
      <c r="O14" s="145">
        <v>77449</v>
      </c>
      <c r="P14" s="145">
        <v>79964</v>
      </c>
      <c r="Q14" s="145">
        <v>81118</v>
      </c>
      <c r="R14" s="154">
        <v>83143</v>
      </c>
      <c r="S14" s="145">
        <v>84843</v>
      </c>
      <c r="T14" s="155">
        <v>86413</v>
      </c>
      <c r="U14" s="145">
        <v>88322</v>
      </c>
      <c r="V14" s="145">
        <v>90073.804942443036</v>
      </c>
      <c r="W14" s="145">
        <f t="shared" si="1"/>
        <v>91962.0168139624</v>
      </c>
      <c r="X14" s="145">
        <f t="shared" si="1"/>
        <v>93837.915048749011</v>
      </c>
      <c r="Y14" s="145">
        <f t="shared" si="1"/>
        <v>95778.556378827387</v>
      </c>
      <c r="Z14" s="145">
        <f t="shared" si="1"/>
        <v>97745.819220150268</v>
      </c>
      <c r="AA14" s="145">
        <f t="shared" si="1"/>
        <v>99760.384054742477</v>
      </c>
    </row>
    <row r="15" spans="1:27" s="148" customFormat="1" ht="30" x14ac:dyDescent="0.25">
      <c r="A15" s="230" t="s">
        <v>37</v>
      </c>
      <c r="B15" s="146">
        <v>36057</v>
      </c>
      <c r="C15" s="153">
        <v>38592</v>
      </c>
      <c r="D15" s="146">
        <v>41246</v>
      </c>
      <c r="E15" s="146">
        <v>42799.999999999993</v>
      </c>
      <c r="F15" s="146">
        <v>43998</v>
      </c>
      <c r="G15" s="146">
        <v>45354</v>
      </c>
      <c r="H15" s="146">
        <v>48568</v>
      </c>
      <c r="I15" s="146">
        <v>50907</v>
      </c>
      <c r="J15" s="146">
        <v>53593</v>
      </c>
      <c r="K15" s="146">
        <v>57500</v>
      </c>
      <c r="L15" s="146">
        <v>57392</v>
      </c>
      <c r="M15" s="146">
        <v>55994.999999999993</v>
      </c>
      <c r="N15" s="146">
        <v>56810</v>
      </c>
      <c r="O15" s="146">
        <v>59065.999999999993</v>
      </c>
      <c r="P15" s="146">
        <v>61102</v>
      </c>
      <c r="Q15" s="146">
        <v>57564</v>
      </c>
      <c r="R15" s="152">
        <v>63167</v>
      </c>
      <c r="S15" s="146">
        <v>68132.000000000015</v>
      </c>
      <c r="T15" s="153">
        <v>69437.000000000015</v>
      </c>
      <c r="U15" s="146">
        <v>69146.000000000015</v>
      </c>
      <c r="V15" s="146">
        <v>70073.645866340899</v>
      </c>
      <c r="W15" s="146">
        <f t="shared" si="1"/>
        <v>70396.857291394525</v>
      </c>
      <c r="X15" s="146">
        <f t="shared" si="1"/>
        <v>71031.421934031372</v>
      </c>
      <c r="Y15" s="146">
        <f t="shared" si="1"/>
        <v>71515.378832675109</v>
      </c>
      <c r="Z15" s="146">
        <f t="shared" si="1"/>
        <v>72081.329505158486</v>
      </c>
      <c r="AA15" s="146">
        <f t="shared" si="1"/>
        <v>72612.099326968688</v>
      </c>
    </row>
    <row r="16" spans="1:27" s="148" customFormat="1" ht="45" x14ac:dyDescent="0.25">
      <c r="A16" s="231" t="s">
        <v>39</v>
      </c>
      <c r="B16" s="145">
        <v>71182</v>
      </c>
      <c r="C16" s="155">
        <v>74469</v>
      </c>
      <c r="D16" s="145">
        <v>77514</v>
      </c>
      <c r="E16" s="145">
        <v>79167</v>
      </c>
      <c r="F16" s="145">
        <v>81581</v>
      </c>
      <c r="G16" s="145">
        <v>85362.000000000015</v>
      </c>
      <c r="H16" s="145">
        <v>90265</v>
      </c>
      <c r="I16" s="145">
        <v>95283</v>
      </c>
      <c r="J16" s="145">
        <v>100531</v>
      </c>
      <c r="K16" s="145">
        <v>106408</v>
      </c>
      <c r="L16" s="145">
        <v>112077</v>
      </c>
      <c r="M16" s="145">
        <v>116197.99999999999</v>
      </c>
      <c r="N16" s="145">
        <v>120222</v>
      </c>
      <c r="O16" s="145">
        <v>125916</v>
      </c>
      <c r="P16" s="145">
        <v>132333</v>
      </c>
      <c r="Q16" s="145">
        <v>132742</v>
      </c>
      <c r="R16" s="154">
        <v>143974.00000000003</v>
      </c>
      <c r="S16" s="145">
        <v>145589</v>
      </c>
      <c r="T16" s="155">
        <v>152772</v>
      </c>
      <c r="U16" s="145">
        <v>158980</v>
      </c>
      <c r="V16" s="145">
        <v>166116.39565643322</v>
      </c>
      <c r="W16" s="145">
        <f t="shared" si="1"/>
        <v>173219.89457829096</v>
      </c>
      <c r="X16" s="145">
        <f t="shared" si="1"/>
        <v>180811.32714686374</v>
      </c>
      <c r="Y16" s="145">
        <f t="shared" si="1"/>
        <v>188639.33534712496</v>
      </c>
      <c r="Z16" s="145">
        <f t="shared" si="1"/>
        <v>196856.38945759783</v>
      </c>
      <c r="AA16" s="145">
        <f t="shared" si="1"/>
        <v>205405.21221519986</v>
      </c>
    </row>
    <row r="17" spans="1:30" s="148" customFormat="1" ht="60" x14ac:dyDescent="0.25">
      <c r="A17" s="230" t="s">
        <v>41</v>
      </c>
      <c r="B17" s="146">
        <v>12775.999999999998</v>
      </c>
      <c r="C17" s="153">
        <v>13424</v>
      </c>
      <c r="D17" s="146">
        <v>14135</v>
      </c>
      <c r="E17" s="146">
        <v>14558</v>
      </c>
      <c r="F17" s="146">
        <v>14897</v>
      </c>
      <c r="G17" s="146">
        <v>15259</v>
      </c>
      <c r="H17" s="146">
        <v>16188</v>
      </c>
      <c r="I17" s="146">
        <v>16677</v>
      </c>
      <c r="J17" s="146">
        <v>17718</v>
      </c>
      <c r="K17" s="146">
        <v>18210</v>
      </c>
      <c r="L17" s="146">
        <v>18982</v>
      </c>
      <c r="M17" s="146">
        <v>20034</v>
      </c>
      <c r="N17" s="146">
        <v>20456</v>
      </c>
      <c r="O17" s="146">
        <v>20925</v>
      </c>
      <c r="P17" s="146">
        <v>23653</v>
      </c>
      <c r="Q17" s="146">
        <v>20864.999999999996</v>
      </c>
      <c r="R17" s="152">
        <v>28048</v>
      </c>
      <c r="S17" s="146">
        <v>35932</v>
      </c>
      <c r="T17" s="153">
        <v>39661</v>
      </c>
      <c r="U17" s="146">
        <v>42910</v>
      </c>
      <c r="V17" s="146">
        <v>47155.337358818259</v>
      </c>
      <c r="W17" s="146">
        <f t="shared" si="1"/>
        <v>51419.479377001742</v>
      </c>
      <c r="X17" s="146">
        <f t="shared" si="1"/>
        <v>56287.963332090119</v>
      </c>
      <c r="Y17" s="146">
        <f t="shared" si="1"/>
        <v>61497.675032291809</v>
      </c>
      <c r="Z17" s="146">
        <f t="shared" si="1"/>
        <v>67254.974704848195</v>
      </c>
      <c r="AA17" s="146">
        <f t="shared" si="1"/>
        <v>73515.498162954973</v>
      </c>
    </row>
    <row r="18" spans="1:30" s="148" customFormat="1" ht="30.75" customHeight="1" thickBot="1" x14ac:dyDescent="0.3">
      <c r="A18" s="231" t="s">
        <v>45</v>
      </c>
      <c r="B18" s="147">
        <v>42525</v>
      </c>
      <c r="C18" s="155">
        <v>47626.999999999993</v>
      </c>
      <c r="D18" s="145">
        <v>52812.999999999993</v>
      </c>
      <c r="E18" s="145">
        <v>55501</v>
      </c>
      <c r="F18" s="145">
        <v>54615</v>
      </c>
      <c r="G18" s="145">
        <v>58006</v>
      </c>
      <c r="H18" s="145">
        <v>64001</v>
      </c>
      <c r="I18" s="145">
        <v>66872.999999999985</v>
      </c>
      <c r="J18" s="145">
        <v>69095</v>
      </c>
      <c r="K18" s="145">
        <v>72899</v>
      </c>
      <c r="L18" s="145">
        <v>74149</v>
      </c>
      <c r="M18" s="145">
        <v>74955</v>
      </c>
      <c r="N18" s="145">
        <v>75773</v>
      </c>
      <c r="O18" s="145">
        <v>78088.000000000015</v>
      </c>
      <c r="P18" s="145">
        <v>81489</v>
      </c>
      <c r="Q18" s="145">
        <v>76490</v>
      </c>
      <c r="R18" s="154">
        <v>88640</v>
      </c>
      <c r="S18" s="145">
        <v>102860</v>
      </c>
      <c r="T18" s="155">
        <v>100274</v>
      </c>
      <c r="U18" s="145">
        <v>100775</v>
      </c>
      <c r="V18" s="145">
        <v>103267.18155407908</v>
      </c>
      <c r="W18" s="145">
        <f t="shared" si="1"/>
        <v>104802.0657830838</v>
      </c>
      <c r="X18" s="145">
        <f t="shared" si="1"/>
        <v>106876.80033012755</v>
      </c>
      <c r="Y18" s="145">
        <f t="shared" si="1"/>
        <v>108728.97146511993</v>
      </c>
      <c r="Z18" s="145">
        <f t="shared" si="1"/>
        <v>110747.34321329654</v>
      </c>
      <c r="AA18" s="145">
        <f t="shared" si="1"/>
        <v>112734.88669002496</v>
      </c>
    </row>
    <row r="19" spans="1:30" s="143" customFormat="1" ht="43.5" customHeight="1" x14ac:dyDescent="0.25">
      <c r="A19" s="209" t="s">
        <v>77</v>
      </c>
      <c r="B19" s="176">
        <f>SUM(B6:B18)</f>
        <v>517438</v>
      </c>
      <c r="C19" s="177">
        <f t="shared" ref="C19:V19" si="2">SUM(C6:C18)</f>
        <v>552139</v>
      </c>
      <c r="D19" s="177">
        <f t="shared" si="2"/>
        <v>588990</v>
      </c>
      <c r="E19" s="177">
        <f t="shared" si="2"/>
        <v>608384</v>
      </c>
      <c r="F19" s="177">
        <f t="shared" si="2"/>
        <v>614390</v>
      </c>
      <c r="G19" s="178">
        <f t="shared" si="2"/>
        <v>640461</v>
      </c>
      <c r="H19" s="178">
        <f t="shared" si="2"/>
        <v>683340</v>
      </c>
      <c r="I19" s="178">
        <f t="shared" si="2"/>
        <v>709685</v>
      </c>
      <c r="J19" s="178">
        <f t="shared" si="2"/>
        <v>745880</v>
      </c>
      <c r="K19" s="178">
        <f t="shared" si="2"/>
        <v>781017</v>
      </c>
      <c r="L19" s="178">
        <f t="shared" si="2"/>
        <v>804692</v>
      </c>
      <c r="M19" s="178">
        <f t="shared" si="2"/>
        <v>821489</v>
      </c>
      <c r="N19" s="178">
        <f t="shared" si="2"/>
        <v>831956</v>
      </c>
      <c r="O19" s="178">
        <f t="shared" si="2"/>
        <v>853167</v>
      </c>
      <c r="P19" s="178">
        <f t="shared" si="2"/>
        <v>880280</v>
      </c>
      <c r="Q19" s="178">
        <f t="shared" si="2"/>
        <v>817375</v>
      </c>
      <c r="R19" s="178">
        <f t="shared" si="2"/>
        <v>905132</v>
      </c>
      <c r="S19" s="178">
        <f t="shared" si="2"/>
        <v>973165</v>
      </c>
      <c r="T19" s="178">
        <f t="shared" si="2"/>
        <v>982221</v>
      </c>
      <c r="U19" s="178">
        <f t="shared" si="2"/>
        <v>996471</v>
      </c>
      <c r="V19" s="178">
        <f t="shared" si="2"/>
        <v>1023465.1349187322</v>
      </c>
      <c r="W19" s="178">
        <f>SUM(W6:W18)</f>
        <v>1051660.3338986011</v>
      </c>
      <c r="X19" s="178">
        <f t="shared" ref="X19:AA19" si="3">SUM(X6:X18)</f>
        <v>1081279.3181722199</v>
      </c>
      <c r="Y19" s="178">
        <f t="shared" si="3"/>
        <v>1112312.1376727435</v>
      </c>
      <c r="Z19" s="178">
        <f t="shared" si="3"/>
        <v>1144760.5775412833</v>
      </c>
      <c r="AA19" s="178">
        <f t="shared" si="3"/>
        <v>1178781.9438063467</v>
      </c>
    </row>
    <row r="20" spans="1:30" ht="15.75" thickBot="1" x14ac:dyDescent="0.3">
      <c r="A20" s="232" t="s">
        <v>85</v>
      </c>
      <c r="B20" s="158">
        <v>0</v>
      </c>
      <c r="C20" s="160">
        <f>IFERROR((C$19/B$19)-1,"")</f>
        <v>6.7063107077562911E-2</v>
      </c>
      <c r="D20" s="160">
        <f t="shared" ref="D20:V20" si="4">IFERROR((D$19/C$19)-1,"")</f>
        <v>6.6742251498264071E-2</v>
      </c>
      <c r="E20" s="160">
        <f t="shared" si="4"/>
        <v>3.2927553948284283E-2</v>
      </c>
      <c r="F20" s="160">
        <f t="shared" si="4"/>
        <v>9.8720544918997621E-3</v>
      </c>
      <c r="G20" s="159">
        <f t="shared" si="4"/>
        <v>4.2433958886049616E-2</v>
      </c>
      <c r="H20" s="159">
        <f t="shared" si="4"/>
        <v>6.6950212425112454E-2</v>
      </c>
      <c r="I20" s="159">
        <f t="shared" si="4"/>
        <v>3.8553282407000955E-2</v>
      </c>
      <c r="J20" s="190">
        <f t="shared" si="4"/>
        <v>5.1001500665788235E-2</v>
      </c>
      <c r="K20" s="159">
        <f t="shared" si="4"/>
        <v>4.7108113905722115E-2</v>
      </c>
      <c r="L20" s="159">
        <f t="shared" si="4"/>
        <v>3.0313040561217086E-2</v>
      </c>
      <c r="M20" s="159">
        <f t="shared" si="4"/>
        <v>2.0873825016279435E-2</v>
      </c>
      <c r="N20" s="159">
        <f t="shared" si="4"/>
        <v>1.2741497451578709E-2</v>
      </c>
      <c r="O20" s="159">
        <f t="shared" si="4"/>
        <v>2.5495338695796343E-2</v>
      </c>
      <c r="P20" s="159">
        <f t="shared" si="4"/>
        <v>3.1779241344308984E-2</v>
      </c>
      <c r="Q20" s="159">
        <f t="shared" si="4"/>
        <v>-7.146021720361706E-2</v>
      </c>
      <c r="R20" s="159">
        <f t="shared" si="4"/>
        <v>0.10736442881174502</v>
      </c>
      <c r="S20" s="159">
        <f t="shared" si="4"/>
        <v>7.5163622543452213E-2</v>
      </c>
      <c r="T20" s="159">
        <f t="shared" si="4"/>
        <v>9.3057189685201713E-3</v>
      </c>
      <c r="U20" s="159">
        <f t="shared" si="4"/>
        <v>1.4507936604898575E-2</v>
      </c>
      <c r="V20" s="159">
        <f t="shared" si="4"/>
        <v>2.7089734592107728E-2</v>
      </c>
      <c r="W20" s="159">
        <f t="shared" ref="W20" si="5">IFERROR((W$19/V$19)-1,"")</f>
        <v>2.7548763526866749E-2</v>
      </c>
      <c r="X20" s="159">
        <f t="shared" ref="X20" si="6">IFERROR((X$19/W$19)-1,"")</f>
        <v>2.8164021518068072E-2</v>
      </c>
      <c r="Y20" s="159">
        <f t="shared" ref="Y20" si="7">IFERROR((Y$19/X$19)-1,"")</f>
        <v>2.8700095321328334E-2</v>
      </c>
      <c r="Z20" s="159">
        <f t="shared" ref="Z20" si="8">IFERROR((Z$19/Y$19)-1,"")</f>
        <v>2.917206310130771E-2</v>
      </c>
      <c r="AA20" s="159">
        <f t="shared" ref="AA20" si="9">IFERROR((AA$19/Z$19)-1,"")</f>
        <v>2.9719197998706814E-2</v>
      </c>
    </row>
    <row r="22" spans="1:30" ht="15.75" thickBot="1" x14ac:dyDescent="0.3"/>
    <row r="23" spans="1:30" ht="15.75" thickBot="1" x14ac:dyDescent="0.3">
      <c r="A23" s="263" t="s">
        <v>83</v>
      </c>
    </row>
    <row r="24" spans="1:30" ht="15.75" thickBot="1" x14ac:dyDescent="0.3">
      <c r="A24" s="264"/>
      <c r="W24" s="187" t="s">
        <v>76</v>
      </c>
      <c r="X24" s="188"/>
      <c r="Y24" s="188"/>
      <c r="Z24" s="188"/>
      <c r="AA24" s="189"/>
    </row>
    <row r="25" spans="1:30" ht="19.5" thickBot="1" x14ac:dyDescent="0.3">
      <c r="A25" s="233" t="s">
        <v>10</v>
      </c>
      <c r="B25" s="157">
        <v>2005</v>
      </c>
      <c r="C25" s="156">
        <v>2006</v>
      </c>
      <c r="D25" s="156">
        <v>2007</v>
      </c>
      <c r="E25" s="156">
        <v>2008</v>
      </c>
      <c r="F25" s="156">
        <v>2009</v>
      </c>
      <c r="G25" s="156">
        <v>2010</v>
      </c>
      <c r="H25" s="156">
        <v>2011</v>
      </c>
      <c r="I25" s="156">
        <v>2012</v>
      </c>
      <c r="J25" s="156">
        <v>2013</v>
      </c>
      <c r="K25" s="234">
        <v>2014</v>
      </c>
      <c r="L25" s="156">
        <v>2015</v>
      </c>
      <c r="M25" s="156">
        <v>2016</v>
      </c>
      <c r="N25" s="156">
        <v>2017</v>
      </c>
      <c r="O25" s="156">
        <v>2018</v>
      </c>
      <c r="P25" s="156">
        <v>2019</v>
      </c>
      <c r="Q25" s="156">
        <v>2020</v>
      </c>
      <c r="R25" s="156">
        <v>2021</v>
      </c>
      <c r="S25" s="156">
        <v>2022</v>
      </c>
      <c r="T25" s="157">
        <v>2023</v>
      </c>
      <c r="U25" s="156">
        <v>2024</v>
      </c>
      <c r="V25" s="156">
        <v>2025</v>
      </c>
      <c r="W25" s="156">
        <v>2026</v>
      </c>
      <c r="X25" s="156">
        <v>2027</v>
      </c>
      <c r="Y25" s="156">
        <v>2028</v>
      </c>
      <c r="Z25" s="156">
        <v>2029</v>
      </c>
      <c r="AA25" s="156">
        <v>2030</v>
      </c>
    </row>
    <row r="26" spans="1:30" x14ac:dyDescent="0.25">
      <c r="A26" s="229" t="s">
        <v>19</v>
      </c>
      <c r="B26" s="235">
        <v>0</v>
      </c>
      <c r="C26" s="235">
        <f>(C6/B6)-1</f>
        <v>2.1314199794244093E-2</v>
      </c>
      <c r="D26" s="235">
        <f>(D6/C6)-1</f>
        <v>3.9310897021979985E-2</v>
      </c>
      <c r="E26" s="236">
        <f t="shared" ref="E26:W38" si="10">(E6/D6)-1</f>
        <v>-8.0518899575040548E-3</v>
      </c>
      <c r="F26" s="236">
        <f t="shared" si="10"/>
        <v>-2.3299511461855049E-3</v>
      </c>
      <c r="G26" s="236">
        <f t="shared" si="10"/>
        <v>3.0385214203203503E-3</v>
      </c>
      <c r="H26" s="236">
        <f t="shared" si="10"/>
        <v>1.9102220664447112E-2</v>
      </c>
      <c r="I26" s="236">
        <f>(I6/H6)-1</f>
        <v>2.5033164644032713E-2</v>
      </c>
      <c r="J26" s="236">
        <f t="shared" si="10"/>
        <v>7.453565008987395E-2</v>
      </c>
      <c r="K26" s="235">
        <f t="shared" si="10"/>
        <v>2.9106724657076199E-2</v>
      </c>
      <c r="L26" s="235">
        <f t="shared" si="10"/>
        <v>4.299956653662762E-2</v>
      </c>
      <c r="M26" s="235">
        <f t="shared" si="10"/>
        <v>2.7366802427063464E-2</v>
      </c>
      <c r="N26" s="235">
        <f t="shared" si="10"/>
        <v>5.5763435205598677E-2</v>
      </c>
      <c r="O26" s="235">
        <f t="shared" si="10"/>
        <v>1.5939308019464304E-2</v>
      </c>
      <c r="P26" s="235">
        <f t="shared" si="10"/>
        <v>2.7173298133132295E-2</v>
      </c>
      <c r="Q26" s="235">
        <f t="shared" si="10"/>
        <v>1.9606763231811319E-2</v>
      </c>
      <c r="R26" s="235">
        <f t="shared" si="10"/>
        <v>4.3735033039845828E-2</v>
      </c>
      <c r="S26" s="238">
        <f t="shared" si="10"/>
        <v>-9.073971846536022E-3</v>
      </c>
      <c r="T26" s="235">
        <f t="shared" si="10"/>
        <v>1.6486194770377161E-2</v>
      </c>
      <c r="U26" s="235">
        <f t="shared" si="10"/>
        <v>6.1278665502063401E-2</v>
      </c>
      <c r="V26" s="235">
        <f t="shared" si="10"/>
        <v>3.100232307625661E-2</v>
      </c>
      <c r="W26" s="235">
        <f>AVERAGE(U26:V26)</f>
        <v>4.6140494289160006E-2</v>
      </c>
      <c r="X26" s="235">
        <f t="shared" ref="X26:AA38" si="11">AVERAGE(V26:W26)</f>
        <v>3.8571408682708308E-2</v>
      </c>
      <c r="Y26" s="235">
        <f t="shared" si="11"/>
        <v>4.2355951485934157E-2</v>
      </c>
      <c r="Z26" s="235">
        <f t="shared" si="11"/>
        <v>4.0463680084321232E-2</v>
      </c>
      <c r="AA26" s="235">
        <f t="shared" si="11"/>
        <v>4.1409815785127695E-2</v>
      </c>
    </row>
    <row r="27" spans="1:30" ht="27" customHeight="1" x14ac:dyDescent="0.25">
      <c r="A27" s="286" t="s">
        <v>21</v>
      </c>
      <c r="B27" s="236">
        <v>0</v>
      </c>
      <c r="C27" s="236">
        <f t="shared" ref="C27:R38" si="12">(C7/B7)-1</f>
        <v>2.2931097338680262E-2</v>
      </c>
      <c r="D27" s="236">
        <f t="shared" si="12"/>
        <v>1.3364695819523043E-2</v>
      </c>
      <c r="E27" s="236">
        <f t="shared" si="12"/>
        <v>9.379615952732645E-2</v>
      </c>
      <c r="F27" s="236">
        <f t="shared" si="12"/>
        <v>0.11440146619079772</v>
      </c>
      <c r="G27" s="236">
        <f t="shared" si="12"/>
        <v>0.10871635073141173</v>
      </c>
      <c r="H27" s="236">
        <f t="shared" si="12"/>
        <v>0.14435162776173005</v>
      </c>
      <c r="I27" s="236">
        <f t="shared" si="12"/>
        <v>5.3690817301132565E-2</v>
      </c>
      <c r="J27" s="236">
        <f t="shared" si="12"/>
        <v>5.3070033452034204E-2</v>
      </c>
      <c r="K27" s="236">
        <f t="shared" si="12"/>
        <v>-1.3485264581710843E-2</v>
      </c>
      <c r="L27" s="236">
        <f t="shared" si="12"/>
        <v>-1.0574206415157161E-2</v>
      </c>
      <c r="M27" s="236">
        <f t="shared" si="12"/>
        <v>-2.8849182186574729E-2</v>
      </c>
      <c r="N27" s="236">
        <f t="shared" si="12"/>
        <v>-5.7531403368430101E-2</v>
      </c>
      <c r="O27" s="236">
        <f t="shared" si="12"/>
        <v>-1.6608552027894907E-2</v>
      </c>
      <c r="P27" s="236">
        <f t="shared" si="12"/>
        <v>1.9245124568442407E-2</v>
      </c>
      <c r="Q27" s="236">
        <f t="shared" si="12"/>
        <v>-0.15190076213581094</v>
      </c>
      <c r="R27" s="236">
        <f t="shared" si="12"/>
        <v>-2.0509499136444065E-3</v>
      </c>
      <c r="S27" s="239">
        <f t="shared" si="10"/>
        <v>1.4548404542996218E-2</v>
      </c>
      <c r="T27" s="236">
        <f t="shared" si="10"/>
        <v>2.5667679513833086E-2</v>
      </c>
      <c r="U27" s="236">
        <f t="shared" si="10"/>
        <v>-3.4120734908136274E-2</v>
      </c>
      <c r="V27" s="236">
        <f t="shared" si="10"/>
        <v>-6.1873733747030757E-2</v>
      </c>
      <c r="W27" s="281">
        <v>0.12</v>
      </c>
      <c r="X27" s="281">
        <f t="shared" si="11"/>
        <v>2.9063133126484619E-2</v>
      </c>
      <c r="Y27" s="281">
        <f t="shared" si="11"/>
        <v>7.4531566563242307E-2</v>
      </c>
      <c r="Z27" s="281">
        <f t="shared" si="11"/>
        <v>5.1797349844863463E-2</v>
      </c>
      <c r="AA27" s="281">
        <f t="shared" si="11"/>
        <v>6.3164458204052892E-2</v>
      </c>
      <c r="AB27" s="284" t="s">
        <v>96</v>
      </c>
      <c r="AC27" s="285"/>
      <c r="AD27" s="285"/>
    </row>
    <row r="28" spans="1:30" x14ac:dyDescent="0.25">
      <c r="A28" s="231" t="s">
        <v>23</v>
      </c>
      <c r="B28" s="236">
        <v>0</v>
      </c>
      <c r="C28" s="236">
        <f t="shared" si="12"/>
        <v>7.2917206027028447E-2</v>
      </c>
      <c r="D28" s="236">
        <f t="shared" si="12"/>
        <v>7.7637690776376944E-2</v>
      </c>
      <c r="E28" s="236">
        <f t="shared" si="12"/>
        <v>3.5714285714285587E-3</v>
      </c>
      <c r="F28" s="236">
        <f t="shared" si="12"/>
        <v>-3.6646995169513308E-2</v>
      </c>
      <c r="G28" s="236">
        <f t="shared" si="12"/>
        <v>1.8829469393426779E-2</v>
      </c>
      <c r="H28" s="236">
        <f t="shared" si="12"/>
        <v>5.5876335530802734E-2</v>
      </c>
      <c r="I28" s="236">
        <f t="shared" si="12"/>
        <v>8.2996038580775977E-3</v>
      </c>
      <c r="J28" s="236">
        <f t="shared" si="12"/>
        <v>1.5096031686720135E-2</v>
      </c>
      <c r="K28" s="236">
        <f t="shared" si="12"/>
        <v>2.8901673310124831E-2</v>
      </c>
      <c r="L28" s="236">
        <f t="shared" si="12"/>
        <v>2.0034958959000093E-2</v>
      </c>
      <c r="M28" s="236">
        <f t="shared" si="12"/>
        <v>3.2238022226898533E-2</v>
      </c>
      <c r="N28" s="236">
        <f t="shared" si="12"/>
        <v>-1.8163990447158329E-2</v>
      </c>
      <c r="O28" s="236">
        <f t="shared" si="12"/>
        <v>1.4752558461462062E-2</v>
      </c>
      <c r="P28" s="236">
        <f t="shared" si="12"/>
        <v>1.2014382180128402E-2</v>
      </c>
      <c r="Q28" s="236">
        <f t="shared" si="12"/>
        <v>-9.2489890236857386E-2</v>
      </c>
      <c r="R28" s="236">
        <f t="shared" si="12"/>
        <v>0.13593057058586377</v>
      </c>
      <c r="S28" s="239">
        <f t="shared" si="10"/>
        <v>8.1594530476528426E-2</v>
      </c>
      <c r="T28" s="236">
        <f t="shared" si="10"/>
        <v>-1.6208701058703423E-2</v>
      </c>
      <c r="U28" s="236">
        <f t="shared" si="10"/>
        <v>-2.5648452929559085E-2</v>
      </c>
      <c r="V28" s="236">
        <f t="shared" si="10"/>
        <v>1.85000575147094E-2</v>
      </c>
      <c r="W28" s="236">
        <f t="shared" ref="W27:W38" si="13">AVERAGE(U28:V28)</f>
        <v>-3.5741977074248421E-3</v>
      </c>
      <c r="X28" s="236">
        <f t="shared" si="11"/>
        <v>7.4629299036422792E-3</v>
      </c>
      <c r="Y28" s="236">
        <f t="shared" si="11"/>
        <v>1.9443660981087185E-3</v>
      </c>
      <c r="Z28" s="236">
        <f t="shared" si="11"/>
        <v>4.7036480008754988E-3</v>
      </c>
      <c r="AA28" s="236">
        <f t="shared" si="11"/>
        <v>3.3240070494921087E-3</v>
      </c>
    </row>
    <row r="29" spans="1:30" ht="45" x14ac:dyDescent="0.25">
      <c r="A29" s="230" t="s">
        <v>25</v>
      </c>
      <c r="B29" s="236">
        <v>0</v>
      </c>
      <c r="C29" s="236">
        <f t="shared" si="12"/>
        <v>5.3197752207653215E-2</v>
      </c>
      <c r="D29" s="236">
        <f t="shared" si="12"/>
        <v>4.2278571065602844E-2</v>
      </c>
      <c r="E29" s="236">
        <f t="shared" si="12"/>
        <v>5.2654673102237037E-3</v>
      </c>
      <c r="F29" s="236">
        <f t="shared" si="12"/>
        <v>2.3958484892574905E-2</v>
      </c>
      <c r="G29" s="236">
        <f t="shared" si="12"/>
        <v>3.8933358594231082E-2</v>
      </c>
      <c r="H29" s="236">
        <f t="shared" si="12"/>
        <v>3.0681559152039961E-2</v>
      </c>
      <c r="I29" s="236">
        <f t="shared" si="12"/>
        <v>2.1496815286624171E-2</v>
      </c>
      <c r="J29" s="236">
        <f t="shared" si="12"/>
        <v>3.7065904563956087E-2</v>
      </c>
      <c r="K29" s="236">
        <f t="shared" si="12"/>
        <v>3.4363256784968543E-2</v>
      </c>
      <c r="L29" s="236">
        <f t="shared" si="12"/>
        <v>-7.0237758850362209E-3</v>
      </c>
      <c r="M29" s="236">
        <f t="shared" si="12"/>
        <v>-8.1304118053293628E-5</v>
      </c>
      <c r="N29" s="236">
        <f t="shared" si="12"/>
        <v>2.8865308777493048E-2</v>
      </c>
      <c r="O29" s="236">
        <f t="shared" si="12"/>
        <v>2.5487019401746913E-2</v>
      </c>
      <c r="P29" s="236">
        <f t="shared" si="12"/>
        <v>2.5200369913686904E-2</v>
      </c>
      <c r="Q29" s="236">
        <f t="shared" si="12"/>
        <v>-3.8299631662031208E-2</v>
      </c>
      <c r="R29" s="236">
        <f t="shared" si="12"/>
        <v>5.8310860984093438E-2</v>
      </c>
      <c r="S29" s="239">
        <f t="shared" si="10"/>
        <v>4.6087373979836865E-2</v>
      </c>
      <c r="T29" s="236">
        <f t="shared" si="10"/>
        <v>3.1559995763758897E-2</v>
      </c>
      <c r="U29" s="236">
        <f t="shared" si="10"/>
        <v>2.48793675781116E-2</v>
      </c>
      <c r="V29" s="236">
        <f t="shared" si="10"/>
        <v>1.140651910951207E-2</v>
      </c>
      <c r="W29" s="236">
        <f t="shared" si="13"/>
        <v>1.8142943343811835E-2</v>
      </c>
      <c r="X29" s="236">
        <f t="shared" si="11"/>
        <v>1.4774731226661952E-2</v>
      </c>
      <c r="Y29" s="236">
        <f t="shared" si="11"/>
        <v>1.6458837285236894E-2</v>
      </c>
      <c r="Z29" s="236">
        <f t="shared" si="11"/>
        <v>1.5616784255949423E-2</v>
      </c>
      <c r="AA29" s="236">
        <f t="shared" si="11"/>
        <v>1.6037810770593158E-2</v>
      </c>
    </row>
    <row r="30" spans="1:30" x14ac:dyDescent="0.25">
      <c r="A30" s="231" t="s">
        <v>27</v>
      </c>
      <c r="B30" s="236">
        <v>0</v>
      </c>
      <c r="C30" s="236">
        <f t="shared" si="12"/>
        <v>0.12141035963499736</v>
      </c>
      <c r="D30" s="236">
        <f t="shared" si="12"/>
        <v>6.9404972028599632E-2</v>
      </c>
      <c r="E30" s="236">
        <f t="shared" si="12"/>
        <v>9.9085237922063474E-2</v>
      </c>
      <c r="F30" s="236">
        <f t="shared" si="12"/>
        <v>2.6139631958054466E-2</v>
      </c>
      <c r="G30" s="236">
        <f t="shared" si="12"/>
        <v>-6.6474848695304845E-3</v>
      </c>
      <c r="H30" s="236">
        <f t="shared" si="12"/>
        <v>6.2125449460647131E-2</v>
      </c>
      <c r="I30" s="236">
        <f t="shared" si="12"/>
        <v>5.9126387060372432E-2</v>
      </c>
      <c r="J30" s="236">
        <f t="shared" si="12"/>
        <v>0.11276109298350767</v>
      </c>
      <c r="K30" s="236">
        <f t="shared" si="12"/>
        <v>8.918633181065605E-2</v>
      </c>
      <c r="L30" s="236">
        <f t="shared" si="12"/>
        <v>6.3001355261712133E-2</v>
      </c>
      <c r="M30" s="236">
        <f t="shared" si="12"/>
        <v>3.588780538230929E-2</v>
      </c>
      <c r="N30" s="236">
        <f t="shared" si="12"/>
        <v>-2.0257796257796112E-2</v>
      </c>
      <c r="O30" s="236">
        <f t="shared" si="12"/>
        <v>-1.2748909297706557E-2</v>
      </c>
      <c r="P30" s="236">
        <f t="shared" si="12"/>
        <v>-3.8912579957356086E-2</v>
      </c>
      <c r="Q30" s="236">
        <f t="shared" si="12"/>
        <v>-0.29581521836365909</v>
      </c>
      <c r="R30" s="236">
        <f t="shared" si="12"/>
        <v>4.2684011280774481E-2</v>
      </c>
      <c r="S30" s="239">
        <f t="shared" si="10"/>
        <v>6.6424620482955277E-2</v>
      </c>
      <c r="T30" s="236">
        <f t="shared" si="10"/>
        <v>-3.0915114817776757E-2</v>
      </c>
      <c r="U30" s="236">
        <f t="shared" si="10"/>
        <v>8.4881637272471444E-4</v>
      </c>
      <c r="V30" s="236">
        <f t="shared" si="10"/>
        <v>-2.7679677050644891E-2</v>
      </c>
      <c r="W30" s="236">
        <f t="shared" si="13"/>
        <v>-1.3415430338960088E-2</v>
      </c>
      <c r="X30" s="236">
        <f t="shared" si="11"/>
        <v>-2.0547553694802489E-2</v>
      </c>
      <c r="Y30" s="236">
        <f t="shared" si="11"/>
        <v>-1.6981492016881289E-2</v>
      </c>
      <c r="Z30" s="236">
        <f t="shared" si="11"/>
        <v>-1.8764522855841889E-2</v>
      </c>
      <c r="AA30" s="236">
        <f t="shared" si="11"/>
        <v>-1.7873007436361589E-2</v>
      </c>
    </row>
    <row r="31" spans="1:30" ht="45" x14ac:dyDescent="0.25">
      <c r="A31" s="230" t="s">
        <v>29</v>
      </c>
      <c r="B31" s="236">
        <v>0</v>
      </c>
      <c r="C31" s="236">
        <f t="shared" si="12"/>
        <v>7.6076650239385701E-2</v>
      </c>
      <c r="D31" s="236">
        <f t="shared" si="12"/>
        <v>8.0684463590279032E-2</v>
      </c>
      <c r="E31" s="236">
        <f t="shared" si="12"/>
        <v>3.022860191457899E-2</v>
      </c>
      <c r="F31" s="236">
        <f t="shared" si="12"/>
        <v>-1.5730951869149523E-3</v>
      </c>
      <c r="G31" s="236">
        <f t="shared" si="12"/>
        <v>5.3452072221950475E-2</v>
      </c>
      <c r="H31" s="236">
        <f t="shared" si="12"/>
        <v>6.8891840924503178E-2</v>
      </c>
      <c r="I31" s="236">
        <f t="shared" si="12"/>
        <v>3.8153011828302885E-2</v>
      </c>
      <c r="J31" s="236">
        <f t="shared" si="12"/>
        <v>4.7684026353461029E-2</v>
      </c>
      <c r="K31" s="236">
        <f t="shared" si="12"/>
        <v>4.7255671239882169E-2</v>
      </c>
      <c r="L31" s="236">
        <f t="shared" si="12"/>
        <v>3.3312223892326687E-2</v>
      </c>
      <c r="M31" s="236">
        <f t="shared" si="12"/>
        <v>2.6855400246623695E-2</v>
      </c>
      <c r="N31" s="236">
        <f t="shared" si="12"/>
        <v>1.8595487034932967E-2</v>
      </c>
      <c r="O31" s="236">
        <f t="shared" si="12"/>
        <v>2.6727472961906695E-2</v>
      </c>
      <c r="P31" s="236">
        <f t="shared" si="12"/>
        <v>3.7486764119418536E-2</v>
      </c>
      <c r="Q31" s="236">
        <f t="shared" si="12"/>
        <v>-0.13688779905891713</v>
      </c>
      <c r="R31" s="236">
        <f t="shared" si="12"/>
        <v>0.20409260183514388</v>
      </c>
      <c r="S31" s="239">
        <f t="shared" si="10"/>
        <v>0.11884067212957961</v>
      </c>
      <c r="T31" s="236">
        <f t="shared" si="10"/>
        <v>-3.6386227493715895E-2</v>
      </c>
      <c r="U31" s="236">
        <f t="shared" si="10"/>
        <v>1.2326474119727315E-2</v>
      </c>
      <c r="V31" s="236">
        <f t="shared" si="10"/>
        <v>4.5987328955726214E-2</v>
      </c>
      <c r="W31" s="236">
        <f t="shared" si="13"/>
        <v>2.9156901537726765E-2</v>
      </c>
      <c r="X31" s="236">
        <f t="shared" si="11"/>
        <v>3.757211524672649E-2</v>
      </c>
      <c r="Y31" s="236">
        <f t="shared" si="11"/>
        <v>3.3364508392226627E-2</v>
      </c>
      <c r="Z31" s="236">
        <f t="shared" si="11"/>
        <v>3.5468311819476558E-2</v>
      </c>
      <c r="AA31" s="236">
        <f t="shared" si="11"/>
        <v>3.4416410105851593E-2</v>
      </c>
    </row>
    <row r="32" spans="1:30" x14ac:dyDescent="0.25">
      <c r="A32" s="231" t="s">
        <v>31</v>
      </c>
      <c r="B32" s="236">
        <v>0</v>
      </c>
      <c r="C32" s="236">
        <f t="shared" si="12"/>
        <v>0.14917517674783976</v>
      </c>
      <c r="D32" s="236">
        <f t="shared" si="12"/>
        <v>0.14573791783443846</v>
      </c>
      <c r="E32" s="236">
        <f t="shared" si="12"/>
        <v>2.1418769763140721E-2</v>
      </c>
      <c r="F32" s="236">
        <f t="shared" si="12"/>
        <v>-8.4754672897196293E-2</v>
      </c>
      <c r="G32" s="236">
        <f t="shared" si="12"/>
        <v>0.16510306975556821</v>
      </c>
      <c r="H32" s="236">
        <f t="shared" si="12"/>
        <v>0.10391104294478537</v>
      </c>
      <c r="I32" s="236">
        <f t="shared" si="12"/>
        <v>1.3000545824443099E-2</v>
      </c>
      <c r="J32" s="236">
        <f t="shared" si="12"/>
        <v>8.8317413666421762E-2</v>
      </c>
      <c r="K32" s="236">
        <f t="shared" si="12"/>
        <v>6.4632280133225528E-2</v>
      </c>
      <c r="L32" s="236">
        <f t="shared" si="12"/>
        <v>1.2978777373805706E-2</v>
      </c>
      <c r="M32" s="236">
        <f t="shared" si="12"/>
        <v>-6.5523141772049209E-3</v>
      </c>
      <c r="N32" s="236">
        <f t="shared" si="12"/>
        <v>-1.932448328011982E-3</v>
      </c>
      <c r="O32" s="236">
        <f t="shared" si="12"/>
        <v>3.5230238235541611E-2</v>
      </c>
      <c r="P32" s="236">
        <f t="shared" si="12"/>
        <v>9.1888595242934912E-3</v>
      </c>
      <c r="Q32" s="236">
        <f t="shared" si="12"/>
        <v>-2.7718464203698501E-2</v>
      </c>
      <c r="R32" s="236">
        <f t="shared" si="12"/>
        <v>0.12750176107404809</v>
      </c>
      <c r="S32" s="239">
        <f t="shared" si="10"/>
        <v>0.12326350606394709</v>
      </c>
      <c r="T32" s="236">
        <f t="shared" si="10"/>
        <v>1.5377568381101936E-2</v>
      </c>
      <c r="U32" s="236">
        <f t="shared" si="10"/>
        <v>-2.0944770251980493E-3</v>
      </c>
      <c r="V32" s="236">
        <f t="shared" si="10"/>
        <v>9.6882389009473879E-3</v>
      </c>
      <c r="W32" s="236">
        <f t="shared" si="13"/>
        <v>3.7968809378746693E-3</v>
      </c>
      <c r="X32" s="236">
        <f t="shared" si="11"/>
        <v>6.7425599194110286E-3</v>
      </c>
      <c r="Y32" s="236">
        <f t="shared" si="11"/>
        <v>5.269720428642849E-3</v>
      </c>
      <c r="Z32" s="236">
        <f t="shared" si="11"/>
        <v>6.0061401740269388E-3</v>
      </c>
      <c r="AA32" s="236">
        <f t="shared" si="11"/>
        <v>5.6379303013348939E-3</v>
      </c>
    </row>
    <row r="33" spans="1:27" x14ac:dyDescent="0.25">
      <c r="A33" s="230" t="s">
        <v>33</v>
      </c>
      <c r="B33" s="236">
        <v>0</v>
      </c>
      <c r="C33" s="236">
        <f t="shared" si="12"/>
        <v>6.5871369294605797E-2</v>
      </c>
      <c r="D33" s="236">
        <f t="shared" si="12"/>
        <v>0.13759124087591235</v>
      </c>
      <c r="E33" s="236">
        <f t="shared" si="12"/>
        <v>0.1013795316008983</v>
      </c>
      <c r="F33" s="236">
        <f t="shared" si="12"/>
        <v>3.4809204777162872E-2</v>
      </c>
      <c r="G33" s="236">
        <f t="shared" si="12"/>
        <v>4.6774571897724826E-2</v>
      </c>
      <c r="H33" s="236">
        <f t="shared" si="12"/>
        <v>0.10944783076371434</v>
      </c>
      <c r="I33" s="236">
        <f t="shared" si="12"/>
        <v>7.562414155288022E-2</v>
      </c>
      <c r="J33" s="236">
        <f t="shared" si="12"/>
        <v>9.5170134455044186E-2</v>
      </c>
      <c r="K33" s="236">
        <f t="shared" si="12"/>
        <v>0.10216049382716053</v>
      </c>
      <c r="L33" s="236">
        <f t="shared" si="12"/>
        <v>7.9560658390117611E-2</v>
      </c>
      <c r="M33" s="236">
        <f t="shared" si="12"/>
        <v>2.9686419183767798E-2</v>
      </c>
      <c r="N33" s="236">
        <f t="shared" si="12"/>
        <v>5.3882326596876196E-2</v>
      </c>
      <c r="O33" s="236">
        <f t="shared" si="12"/>
        <v>3.7342965658282656E-2</v>
      </c>
      <c r="P33" s="236">
        <f t="shared" si="12"/>
        <v>6.2677625009601501E-2</v>
      </c>
      <c r="Q33" s="236">
        <f t="shared" si="12"/>
        <v>2.2358751957595402E-2</v>
      </c>
      <c r="R33" s="236">
        <f t="shared" si="12"/>
        <v>3.699950510216099E-2</v>
      </c>
      <c r="S33" s="239">
        <f t="shared" si="10"/>
        <v>6.6745449173920113E-2</v>
      </c>
      <c r="T33" s="236">
        <f t="shared" si="10"/>
        <v>8.9369407754580132E-2</v>
      </c>
      <c r="U33" s="236">
        <f t="shared" si="10"/>
        <v>1.0736286300968345E-2</v>
      </c>
      <c r="V33" s="236">
        <f t="shared" si="10"/>
        <v>2.7636052292486113E-2</v>
      </c>
      <c r="W33" s="236">
        <f t="shared" si="13"/>
        <v>1.9186169296727229E-2</v>
      </c>
      <c r="X33" s="236">
        <f t="shared" si="11"/>
        <v>2.3411110794606671E-2</v>
      </c>
      <c r="Y33" s="236">
        <f t="shared" si="11"/>
        <v>2.129864004566695E-2</v>
      </c>
      <c r="Z33" s="236">
        <f t="shared" si="11"/>
        <v>2.2354875420136811E-2</v>
      </c>
      <c r="AA33" s="236">
        <f t="shared" si="11"/>
        <v>2.182675773290188E-2</v>
      </c>
    </row>
    <row r="34" spans="1:27" x14ac:dyDescent="0.25">
      <c r="A34" s="231" t="s">
        <v>35</v>
      </c>
      <c r="B34" s="236">
        <v>0</v>
      </c>
      <c r="C34" s="236">
        <f t="shared" si="12"/>
        <v>4.0451496028507172E-2</v>
      </c>
      <c r="D34" s="236">
        <f t="shared" si="12"/>
        <v>3.7501195828948619E-2</v>
      </c>
      <c r="E34" s="236">
        <f t="shared" si="12"/>
        <v>2.7773167358229545E-2</v>
      </c>
      <c r="F34" s="236">
        <f t="shared" si="12"/>
        <v>3.8309020114478454E-2</v>
      </c>
      <c r="G34" s="236">
        <f t="shared" si="12"/>
        <v>3.5703176303874429E-2</v>
      </c>
      <c r="H34" s="236">
        <f t="shared" si="12"/>
        <v>2.8298738570379678E-2</v>
      </c>
      <c r="I34" s="236">
        <f t="shared" si="12"/>
        <v>3.165768806386704E-2</v>
      </c>
      <c r="J34" s="236">
        <f t="shared" si="12"/>
        <v>3.2180436936724455E-2</v>
      </c>
      <c r="K34" s="236">
        <f t="shared" si="12"/>
        <v>3.1070476190476093E-2</v>
      </c>
      <c r="L34" s="236">
        <f t="shared" si="12"/>
        <v>3.1937219200756539E-2</v>
      </c>
      <c r="M34" s="236">
        <f t="shared" si="12"/>
        <v>3.5288220551378702E-2</v>
      </c>
      <c r="N34" s="236">
        <f t="shared" si="12"/>
        <v>3.0516399452198861E-2</v>
      </c>
      <c r="O34" s="236">
        <f t="shared" si="12"/>
        <v>3.965366803141146E-2</v>
      </c>
      <c r="P34" s="236">
        <f t="shared" si="12"/>
        <v>3.2472982220558055E-2</v>
      </c>
      <c r="Q34" s="236">
        <f t="shared" si="12"/>
        <v>1.4431494172377546E-2</v>
      </c>
      <c r="R34" s="236">
        <f t="shared" si="12"/>
        <v>2.49636332256713E-2</v>
      </c>
      <c r="S34" s="239">
        <f t="shared" si="10"/>
        <v>2.0446700263401674E-2</v>
      </c>
      <c r="T34" s="236">
        <f t="shared" si="10"/>
        <v>1.8504767629621721E-2</v>
      </c>
      <c r="U34" s="236">
        <f t="shared" si="10"/>
        <v>2.2091583442306106E-2</v>
      </c>
      <c r="V34" s="236">
        <f t="shared" si="10"/>
        <v>1.9834298843357745E-2</v>
      </c>
      <c r="W34" s="236">
        <f t="shared" si="13"/>
        <v>2.0962941142831926E-2</v>
      </c>
      <c r="X34" s="236">
        <f t="shared" si="11"/>
        <v>2.0398619993094835E-2</v>
      </c>
      <c r="Y34" s="236">
        <f t="shared" si="11"/>
        <v>2.068078056796338E-2</v>
      </c>
      <c r="Z34" s="236">
        <f t="shared" si="11"/>
        <v>2.0539700280529108E-2</v>
      </c>
      <c r="AA34" s="236">
        <f t="shared" si="11"/>
        <v>2.0610240424246244E-2</v>
      </c>
    </row>
    <row r="35" spans="1:27" ht="30" x14ac:dyDescent="0.25">
      <c r="A35" s="230" t="s">
        <v>37</v>
      </c>
      <c r="B35" s="236">
        <v>0</v>
      </c>
      <c r="C35" s="236">
        <f t="shared" si="12"/>
        <v>7.0305349862717303E-2</v>
      </c>
      <c r="D35" s="236">
        <f t="shared" si="12"/>
        <v>6.8770729684908716E-2</v>
      </c>
      <c r="E35" s="236">
        <f t="shared" si="12"/>
        <v>3.7676380739950277E-2</v>
      </c>
      <c r="F35" s="236">
        <f t="shared" si="12"/>
        <v>2.7990654205607646E-2</v>
      </c>
      <c r="G35" s="236">
        <f t="shared" si="12"/>
        <v>3.0819582708304871E-2</v>
      </c>
      <c r="H35" s="236">
        <f t="shared" si="12"/>
        <v>7.0864752833267097E-2</v>
      </c>
      <c r="I35" s="236">
        <f t="shared" si="12"/>
        <v>4.815928183165874E-2</v>
      </c>
      <c r="J35" s="236">
        <f t="shared" si="12"/>
        <v>5.2762881332626188E-2</v>
      </c>
      <c r="K35" s="236">
        <f t="shared" si="12"/>
        <v>7.2901311738473362E-2</v>
      </c>
      <c r="L35" s="236">
        <f t="shared" si="12"/>
        <v>-1.8782608695652181E-3</v>
      </c>
      <c r="M35" s="236">
        <f t="shared" si="12"/>
        <v>-2.4341371619738039E-2</v>
      </c>
      <c r="N35" s="236">
        <f t="shared" si="12"/>
        <v>1.4554870970622469E-2</v>
      </c>
      <c r="O35" s="236">
        <f t="shared" si="12"/>
        <v>3.971131842985387E-2</v>
      </c>
      <c r="P35" s="236">
        <f t="shared" si="12"/>
        <v>3.446991501032759E-2</v>
      </c>
      <c r="Q35" s="236">
        <f t="shared" si="12"/>
        <v>-5.7903178292036284E-2</v>
      </c>
      <c r="R35" s="236">
        <f t="shared" si="12"/>
        <v>9.7335140018066868E-2</v>
      </c>
      <c r="S35" s="239">
        <f t="shared" si="10"/>
        <v>7.8601168331565718E-2</v>
      </c>
      <c r="T35" s="236">
        <f t="shared" si="10"/>
        <v>1.9153995185815731E-2</v>
      </c>
      <c r="U35" s="236">
        <f t="shared" si="10"/>
        <v>-4.1908492590405633E-3</v>
      </c>
      <c r="V35" s="236">
        <f t="shared" si="10"/>
        <v>1.3415756028416492E-2</v>
      </c>
      <c r="W35" s="236">
        <f t="shared" si="13"/>
        <v>4.6124533846879645E-3</v>
      </c>
      <c r="X35" s="236">
        <f t="shared" si="11"/>
        <v>9.0141047065522284E-3</v>
      </c>
      <c r="Y35" s="236">
        <f t="shared" si="11"/>
        <v>6.8132790456200965E-3</v>
      </c>
      <c r="Z35" s="236">
        <f t="shared" si="11"/>
        <v>7.9136918760861624E-3</v>
      </c>
      <c r="AA35" s="236">
        <f t="shared" si="11"/>
        <v>7.3634854608531294E-3</v>
      </c>
    </row>
    <row r="36" spans="1:27" ht="45" x14ac:dyDescent="0.25">
      <c r="A36" s="231" t="s">
        <v>39</v>
      </c>
      <c r="B36" s="236">
        <v>0</v>
      </c>
      <c r="C36" s="236">
        <f t="shared" si="12"/>
        <v>4.6177404399988742E-2</v>
      </c>
      <c r="D36" s="236">
        <f t="shared" si="12"/>
        <v>4.0889497643314732E-2</v>
      </c>
      <c r="E36" s="236">
        <f t="shared" si="12"/>
        <v>2.1325179967489838E-2</v>
      </c>
      <c r="F36" s="236">
        <f t="shared" si="12"/>
        <v>3.0492503189460285E-2</v>
      </c>
      <c r="G36" s="236">
        <f t="shared" si="12"/>
        <v>4.634657579583501E-2</v>
      </c>
      <c r="H36" s="236">
        <f t="shared" si="12"/>
        <v>5.7437735760642816E-2</v>
      </c>
      <c r="I36" s="236">
        <f t="shared" si="12"/>
        <v>5.5591868387525611E-2</v>
      </c>
      <c r="J36" s="236">
        <f t="shared" si="12"/>
        <v>5.507803070852102E-2</v>
      </c>
      <c r="K36" s="236">
        <f t="shared" si="12"/>
        <v>5.8459579632153202E-2</v>
      </c>
      <c r="L36" s="236">
        <f t="shared" si="12"/>
        <v>5.3276069468461085E-2</v>
      </c>
      <c r="M36" s="236">
        <f t="shared" si="12"/>
        <v>3.6769363919448184E-2</v>
      </c>
      <c r="N36" s="236">
        <f t="shared" si="12"/>
        <v>3.4630544415566566E-2</v>
      </c>
      <c r="O36" s="236">
        <f t="shared" si="12"/>
        <v>4.7362379597744253E-2</v>
      </c>
      <c r="P36" s="236">
        <f t="shared" si="12"/>
        <v>5.0962546459544456E-2</v>
      </c>
      <c r="Q36" s="236">
        <f t="shared" si="12"/>
        <v>3.0906878858636411E-3</v>
      </c>
      <c r="R36" s="236">
        <f t="shared" si="12"/>
        <v>8.4615268716758951E-2</v>
      </c>
      <c r="S36" s="239">
        <f t="shared" si="10"/>
        <v>1.1217303124174904E-2</v>
      </c>
      <c r="T36" s="236">
        <f t="shared" si="10"/>
        <v>4.9337518631215271E-2</v>
      </c>
      <c r="U36" s="236">
        <f t="shared" si="10"/>
        <v>4.063571858717574E-2</v>
      </c>
      <c r="V36" s="236">
        <f t="shared" si="10"/>
        <v>4.4888637919443974E-2</v>
      </c>
      <c r="W36" s="236">
        <f t="shared" si="13"/>
        <v>4.2762178253309857E-2</v>
      </c>
      <c r="X36" s="236">
        <f t="shared" si="11"/>
        <v>4.3825408086376916E-2</v>
      </c>
      <c r="Y36" s="236">
        <f t="shared" si="11"/>
        <v>4.3293793169843386E-2</v>
      </c>
      <c r="Z36" s="236">
        <f t="shared" si="11"/>
        <v>4.3559600628110151E-2</v>
      </c>
      <c r="AA36" s="236">
        <f t="shared" si="11"/>
        <v>4.3426696898976769E-2</v>
      </c>
    </row>
    <row r="37" spans="1:27" ht="60" x14ac:dyDescent="0.25">
      <c r="A37" s="230" t="s">
        <v>41</v>
      </c>
      <c r="B37" s="236">
        <v>0</v>
      </c>
      <c r="C37" s="236">
        <f t="shared" si="12"/>
        <v>5.0720100187852335E-2</v>
      </c>
      <c r="D37" s="236">
        <f t="shared" si="12"/>
        <v>5.2964839094159721E-2</v>
      </c>
      <c r="E37" s="236">
        <f t="shared" si="12"/>
        <v>2.9925716307039218E-2</v>
      </c>
      <c r="F37" s="236">
        <f t="shared" si="12"/>
        <v>2.3286165682099291E-2</v>
      </c>
      <c r="G37" s="236">
        <f t="shared" si="12"/>
        <v>2.4300194670067832E-2</v>
      </c>
      <c r="H37" s="236">
        <f t="shared" si="12"/>
        <v>6.0882102365816815E-2</v>
      </c>
      <c r="I37" s="236">
        <f t="shared" si="12"/>
        <v>3.0207561156412099E-2</v>
      </c>
      <c r="J37" s="236">
        <f t="shared" si="12"/>
        <v>6.2421298794747226E-2</v>
      </c>
      <c r="K37" s="236">
        <f t="shared" si="12"/>
        <v>2.7768371147985027E-2</v>
      </c>
      <c r="L37" s="236">
        <f t="shared" si="12"/>
        <v>4.2394288852279027E-2</v>
      </c>
      <c r="M37" s="236">
        <f t="shared" si="12"/>
        <v>5.5420925086924422E-2</v>
      </c>
      <c r="N37" s="236">
        <f t="shared" si="12"/>
        <v>2.106419087551159E-2</v>
      </c>
      <c r="O37" s="236">
        <f t="shared" si="12"/>
        <v>2.2927258506061809E-2</v>
      </c>
      <c r="P37" s="236">
        <f t="shared" si="12"/>
        <v>0.13037037037037047</v>
      </c>
      <c r="Q37" s="236">
        <f t="shared" si="12"/>
        <v>-0.11787088318606531</v>
      </c>
      <c r="R37" s="236">
        <f t="shared" si="12"/>
        <v>0.34426072369997618</v>
      </c>
      <c r="S37" s="239">
        <f t="shared" si="10"/>
        <v>0.28108956075299485</v>
      </c>
      <c r="T37" s="236">
        <f t="shared" si="10"/>
        <v>0.10377936101525109</v>
      </c>
      <c r="U37" s="236">
        <f t="shared" si="10"/>
        <v>8.1919265777464112E-2</v>
      </c>
      <c r="V37" s="236">
        <f t="shared" si="10"/>
        <v>9.8935850823077542E-2</v>
      </c>
      <c r="W37" s="236">
        <f t="shared" si="13"/>
        <v>9.0427558300270827E-2</v>
      </c>
      <c r="X37" s="236">
        <f t="shared" si="11"/>
        <v>9.4681704561674185E-2</v>
      </c>
      <c r="Y37" s="236">
        <f t="shared" si="11"/>
        <v>9.2554631430972506E-2</v>
      </c>
      <c r="Z37" s="236">
        <f t="shared" si="11"/>
        <v>9.3618167996323345E-2</v>
      </c>
      <c r="AA37" s="236">
        <f t="shared" si="11"/>
        <v>9.3086399713647933E-2</v>
      </c>
    </row>
    <row r="38" spans="1:27" ht="15.75" thickBot="1" x14ac:dyDescent="0.3">
      <c r="A38" s="232" t="s">
        <v>45</v>
      </c>
      <c r="B38" s="237">
        <v>0</v>
      </c>
      <c r="C38" s="237">
        <f t="shared" si="12"/>
        <v>0.11997648442092879</v>
      </c>
      <c r="D38" s="237">
        <f t="shared" si="12"/>
        <v>0.10888781573477235</v>
      </c>
      <c r="E38" s="237">
        <f t="shared" si="12"/>
        <v>5.0896559559199694E-2</v>
      </c>
      <c r="F38" s="237">
        <f t="shared" si="12"/>
        <v>-1.5963676330156162E-2</v>
      </c>
      <c r="G38" s="237">
        <f t="shared" si="12"/>
        <v>6.208916964203981E-2</v>
      </c>
      <c r="H38" s="237">
        <f t="shared" si="12"/>
        <v>0.1033513774437127</v>
      </c>
      <c r="I38" s="237">
        <f>(I18/H18)-1</f>
        <v>4.4874298839080451E-2</v>
      </c>
      <c r="J38" s="237">
        <f t="shared" si="12"/>
        <v>3.3227161933815141E-2</v>
      </c>
      <c r="K38" s="237">
        <f t="shared" si="12"/>
        <v>5.5054634922932166E-2</v>
      </c>
      <c r="L38" s="237">
        <f t="shared" si="12"/>
        <v>1.7147011618815045E-2</v>
      </c>
      <c r="M38" s="237">
        <f t="shared" si="12"/>
        <v>1.0870004989952609E-2</v>
      </c>
      <c r="N38" s="237">
        <f t="shared" si="12"/>
        <v>1.0913214595423826E-2</v>
      </c>
      <c r="O38" s="237">
        <f t="shared" si="12"/>
        <v>3.0551779657661982E-2</v>
      </c>
      <c r="P38" s="237">
        <f t="shared" si="12"/>
        <v>4.3553426902981141E-2</v>
      </c>
      <c r="Q38" s="237">
        <f t="shared" si="12"/>
        <v>-6.1345703101032045E-2</v>
      </c>
      <c r="R38" s="237">
        <f t="shared" si="12"/>
        <v>0.15884429337168249</v>
      </c>
      <c r="S38" s="240">
        <f t="shared" si="10"/>
        <v>0.16042418772563183</v>
      </c>
      <c r="T38" s="237">
        <f t="shared" si="10"/>
        <v>-2.5140968306435973E-2</v>
      </c>
      <c r="U38" s="237">
        <f t="shared" si="10"/>
        <v>4.9963101102978857E-3</v>
      </c>
      <c r="V38" s="237">
        <f t="shared" si="10"/>
        <v>2.4730156825394145E-2</v>
      </c>
      <c r="W38" s="237">
        <f t="shared" si="13"/>
        <v>1.4863233467846015E-2</v>
      </c>
      <c r="X38" s="237">
        <f t="shared" si="11"/>
        <v>1.979669514662008E-2</v>
      </c>
      <c r="Y38" s="237">
        <f t="shared" si="11"/>
        <v>1.7329964307233048E-2</v>
      </c>
      <c r="Z38" s="237">
        <f t="shared" si="11"/>
        <v>1.8563329726926564E-2</v>
      </c>
      <c r="AA38" s="237">
        <f t="shared" si="11"/>
        <v>1.7946647017079806E-2</v>
      </c>
    </row>
  </sheetData>
  <mergeCells count="7">
    <mergeCell ref="AB27:AD27"/>
    <mergeCell ref="A1:A2"/>
    <mergeCell ref="W3:AA4"/>
    <mergeCell ref="A23:A24"/>
    <mergeCell ref="W24:AA24"/>
    <mergeCell ref="A3:A4"/>
    <mergeCell ref="B1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AE3E-DF1C-4D49-8A20-0B24DB3A2D10}">
  <dimension ref="A1:AB21"/>
  <sheetViews>
    <sheetView topLeftCell="E3" zoomScale="90" zoomScaleNormal="85" workbookViewId="0">
      <selection activeCell="X17" sqref="X17:Z17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02" t="s">
        <v>78</v>
      </c>
    </row>
    <row r="2" spans="1:28" ht="39.950000000000003" customHeight="1" thickBot="1" x14ac:dyDescent="0.3">
      <c r="A2" s="202"/>
    </row>
    <row r="3" spans="1:28" ht="39.950000000000003" customHeight="1" x14ac:dyDescent="0.25">
      <c r="A3" s="142"/>
      <c r="W3" s="181" t="s">
        <v>81</v>
      </c>
      <c r="X3" s="182"/>
      <c r="Y3" s="182"/>
      <c r="Z3" s="182"/>
      <c r="AA3" s="183"/>
    </row>
    <row r="4" spans="1:28" ht="39.950000000000003" customHeight="1" thickBot="1" x14ac:dyDescent="0.3">
      <c r="A4" s="142"/>
      <c r="W4" s="184"/>
      <c r="X4" s="185"/>
      <c r="Y4" s="185"/>
      <c r="Z4" s="185"/>
      <c r="AA4" s="186"/>
    </row>
    <row r="5" spans="1:28" s="200" customFormat="1" ht="39.950000000000003" customHeight="1" thickBot="1" x14ac:dyDescent="0.35">
      <c r="A5" s="201" t="s">
        <v>10</v>
      </c>
      <c r="B5" s="157">
        <v>2005</v>
      </c>
      <c r="C5" s="157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8" ht="39.950000000000003" customHeight="1" x14ac:dyDescent="0.25">
      <c r="A6" s="206" t="s">
        <v>79</v>
      </c>
      <c r="B6" s="208">
        <v>348741</v>
      </c>
      <c r="C6" s="205">
        <v>370953</v>
      </c>
      <c r="D6" s="194">
        <v>395261.00000000006</v>
      </c>
      <c r="E6" s="193">
        <v>411526.00000000006</v>
      </c>
      <c r="F6" s="193">
        <v>418556.00000000006</v>
      </c>
      <c r="G6" s="193">
        <v>439704.00000000006</v>
      </c>
      <c r="H6" s="193">
        <v>463891</v>
      </c>
      <c r="I6" s="193">
        <v>490025.99999999988</v>
      </c>
      <c r="J6" s="193">
        <v>512698.99999999994</v>
      </c>
      <c r="K6" s="193">
        <v>534484</v>
      </c>
      <c r="L6" s="193">
        <v>551013</v>
      </c>
      <c r="M6" s="193">
        <v>559739</v>
      </c>
      <c r="N6" s="193">
        <v>571234.99999999988</v>
      </c>
      <c r="O6" s="193">
        <v>589723</v>
      </c>
      <c r="P6" s="193">
        <v>613728</v>
      </c>
      <c r="Q6" s="193">
        <v>582997</v>
      </c>
      <c r="R6" s="195">
        <v>668838</v>
      </c>
      <c r="S6" s="193">
        <v>741003.99999999988</v>
      </c>
      <c r="T6" s="194">
        <v>744807</v>
      </c>
      <c r="U6" s="193">
        <v>757023</v>
      </c>
      <c r="V6" s="193">
        <v>784516.15422914457</v>
      </c>
      <c r="W6" s="193">
        <f>V6*(1+W16)</f>
        <v>805195.61826503684</v>
      </c>
      <c r="X6" s="193">
        <f t="shared" ref="X6:AA6" si="0">W6*(1+X16)</f>
        <v>830429.23132445221</v>
      </c>
      <c r="Y6" s="193">
        <f t="shared" si="0"/>
        <v>854386.28469378524</v>
      </c>
      <c r="Z6" s="193">
        <f t="shared" si="0"/>
        <v>880097.96698120434</v>
      </c>
      <c r="AA6" s="193">
        <f t="shared" si="0"/>
        <v>906035.66189593379</v>
      </c>
      <c r="AB6" s="192"/>
    </row>
    <row r="7" spans="1:28" ht="39.950000000000003" customHeight="1" x14ac:dyDescent="0.25">
      <c r="A7" s="207" t="s">
        <v>63</v>
      </c>
      <c r="B7" s="204">
        <v>70375</v>
      </c>
      <c r="C7" s="197">
        <v>74044</v>
      </c>
      <c r="D7" s="198">
        <v>77427.000000000015</v>
      </c>
      <c r="E7" s="197">
        <v>81064</v>
      </c>
      <c r="F7" s="197">
        <v>84925</v>
      </c>
      <c r="G7" s="197">
        <v>89363</v>
      </c>
      <c r="H7" s="197">
        <v>95151</v>
      </c>
      <c r="I7" s="197">
        <v>99725</v>
      </c>
      <c r="J7" s="197">
        <v>108596.00000000003</v>
      </c>
      <c r="K7" s="197">
        <v>113674</v>
      </c>
      <c r="L7" s="197">
        <v>119188</v>
      </c>
      <c r="M7" s="197">
        <v>121362.00000000001</v>
      </c>
      <c r="N7" s="197">
        <v>125783</v>
      </c>
      <c r="O7" s="197">
        <v>135030</v>
      </c>
      <c r="P7" s="197">
        <v>142152</v>
      </c>
      <c r="Q7" s="197">
        <v>141071</v>
      </c>
      <c r="R7" s="199">
        <v>154922</v>
      </c>
      <c r="S7" s="197">
        <v>156452</v>
      </c>
      <c r="T7" s="213">
        <v>158878</v>
      </c>
      <c r="U7" s="196">
        <v>159810.99999999997</v>
      </c>
      <c r="V7" s="197">
        <v>171226.2309509097</v>
      </c>
      <c r="W7" s="196">
        <f t="shared" ref="W7:AA10" si="1">V7*(1+W17)</f>
        <v>177844.29600687011</v>
      </c>
      <c r="X7" s="196">
        <f t="shared" si="1"/>
        <v>190293.39672735104</v>
      </c>
      <c r="Y7" s="196">
        <f t="shared" si="1"/>
        <v>202662.46751462884</v>
      </c>
      <c r="Z7" s="196">
        <f t="shared" si="1"/>
        <v>215328.87173429315</v>
      </c>
      <c r="AA7" s="196">
        <f t="shared" si="1"/>
        <v>229056.08730735432</v>
      </c>
      <c r="AB7" s="192"/>
    </row>
    <row r="8" spans="1:28" s="148" customFormat="1" ht="39.950000000000003" customHeight="1" x14ac:dyDescent="0.25">
      <c r="A8" s="218" t="s">
        <v>65</v>
      </c>
      <c r="B8" s="203">
        <v>86720.000000000015</v>
      </c>
      <c r="C8" s="193">
        <v>101405</v>
      </c>
      <c r="D8" s="194">
        <v>117424</v>
      </c>
      <c r="E8" s="193">
        <v>128090</v>
      </c>
      <c r="F8" s="193">
        <v>120026</v>
      </c>
      <c r="G8" s="193">
        <v>131503</v>
      </c>
      <c r="H8" s="193">
        <v>155852</v>
      </c>
      <c r="I8" s="193">
        <v>160351</v>
      </c>
      <c r="J8" s="193">
        <v>172869</v>
      </c>
      <c r="K8" s="193">
        <v>193533</v>
      </c>
      <c r="L8" s="193">
        <v>191305</v>
      </c>
      <c r="M8" s="193">
        <v>190994</v>
      </c>
      <c r="N8" s="193">
        <v>184828</v>
      </c>
      <c r="O8" s="193">
        <v>187607.99999999997</v>
      </c>
      <c r="P8" s="193">
        <v>193147</v>
      </c>
      <c r="Q8" s="193">
        <v>153203</v>
      </c>
      <c r="R8" s="195">
        <v>170923</v>
      </c>
      <c r="S8" s="193">
        <v>198344</v>
      </c>
      <c r="T8" s="194">
        <v>166406</v>
      </c>
      <c r="U8" s="193">
        <v>170387.99999999997</v>
      </c>
      <c r="V8" s="193">
        <v>173947.39176549573</v>
      </c>
      <c r="W8" s="193">
        <f t="shared" si="1"/>
        <v>177845.49594032613</v>
      </c>
      <c r="X8" s="193">
        <f t="shared" si="1"/>
        <v>181695.81477896898</v>
      </c>
      <c r="Y8" s="193">
        <f t="shared" si="1"/>
        <v>185698.5254089665</v>
      </c>
      <c r="Z8" s="193">
        <f t="shared" si="1"/>
        <v>189754.13771619822</v>
      </c>
      <c r="AA8" s="193">
        <f t="shared" si="1"/>
        <v>193916.34735530525</v>
      </c>
      <c r="AB8" s="219"/>
    </row>
    <row r="9" spans="1:28" s="148" customFormat="1" ht="39.950000000000003" customHeight="1" x14ac:dyDescent="0.25">
      <c r="A9" s="211" t="s">
        <v>69</v>
      </c>
      <c r="B9" s="212">
        <v>88125</v>
      </c>
      <c r="C9" s="196">
        <v>96513.000000000015</v>
      </c>
      <c r="D9" s="213">
        <v>102516</v>
      </c>
      <c r="E9" s="196">
        <v>104603.99999999999</v>
      </c>
      <c r="F9" s="196">
        <v>99158.000000000015</v>
      </c>
      <c r="G9" s="196">
        <v>101203</v>
      </c>
      <c r="H9" s="196">
        <v>113608</v>
      </c>
      <c r="I9" s="196">
        <v>118690</v>
      </c>
      <c r="J9" s="196">
        <v>124241</v>
      </c>
      <c r="K9" s="196">
        <v>123882.00000000001</v>
      </c>
      <c r="L9" s="196">
        <v>125936</v>
      </c>
      <c r="M9" s="196">
        <v>125673</v>
      </c>
      <c r="N9" s="196">
        <v>128902</v>
      </c>
      <c r="O9" s="196">
        <v>129730</v>
      </c>
      <c r="P9" s="196">
        <v>133731</v>
      </c>
      <c r="Q9" s="196">
        <v>103696</v>
      </c>
      <c r="R9" s="214">
        <v>118871</v>
      </c>
      <c r="S9" s="196">
        <v>133683</v>
      </c>
      <c r="T9" s="213">
        <v>137845</v>
      </c>
      <c r="U9" s="196">
        <v>138383</v>
      </c>
      <c r="V9" s="196">
        <v>140934.00773097412</v>
      </c>
      <c r="W9" s="196">
        <f t="shared" si="1"/>
        <v>142508.05284370799</v>
      </c>
      <c r="X9" s="196">
        <f t="shared" si="1"/>
        <v>144617.39069843045</v>
      </c>
      <c r="Y9" s="196">
        <f t="shared" si="1"/>
        <v>146495.26214098319</v>
      </c>
      <c r="Z9" s="196">
        <f t="shared" si="1"/>
        <v>148530.56737281344</v>
      </c>
      <c r="AA9" s="196">
        <f t="shared" si="1"/>
        <v>150526.70077861598</v>
      </c>
      <c r="AB9" s="219"/>
    </row>
    <row r="10" spans="1:28" s="148" customFormat="1" ht="39.950000000000003" customHeight="1" thickBot="1" x14ac:dyDescent="0.3">
      <c r="A10" s="215" t="s">
        <v>71</v>
      </c>
      <c r="B10" s="216">
        <v>78708</v>
      </c>
      <c r="C10" s="217">
        <v>92625</v>
      </c>
      <c r="D10" s="194">
        <v>105460.99999999999</v>
      </c>
      <c r="E10" s="193">
        <v>118656</v>
      </c>
      <c r="F10" s="193">
        <v>108395</v>
      </c>
      <c r="G10" s="193">
        <v>120134</v>
      </c>
      <c r="H10" s="193">
        <v>144435.99999999997</v>
      </c>
      <c r="I10" s="193">
        <v>157977</v>
      </c>
      <c r="J10" s="193">
        <v>171443</v>
      </c>
      <c r="K10" s="193">
        <v>184747</v>
      </c>
      <c r="L10" s="193">
        <v>182750.00000000003</v>
      </c>
      <c r="M10" s="193">
        <v>176279</v>
      </c>
      <c r="N10" s="193">
        <v>178075</v>
      </c>
      <c r="O10" s="193">
        <v>188413</v>
      </c>
      <c r="P10" s="193">
        <v>202250.00000000003</v>
      </c>
      <c r="Q10" s="193">
        <v>161613</v>
      </c>
      <c r="R10" s="195">
        <v>204810</v>
      </c>
      <c r="S10" s="193">
        <v>253971.00000000003</v>
      </c>
      <c r="T10" s="194">
        <v>228498.00000000003</v>
      </c>
      <c r="U10" s="193">
        <v>231157</v>
      </c>
      <c r="V10" s="193">
        <v>250618.83208520326</v>
      </c>
      <c r="W10" s="193">
        <f t="shared" si="1"/>
        <v>262627.23298808624</v>
      </c>
      <c r="X10" s="193">
        <f t="shared" si="1"/>
        <v>279974.82949480147</v>
      </c>
      <c r="Y10" s="193">
        <f t="shared" si="1"/>
        <v>295929.0641218159</v>
      </c>
      <c r="Z10" s="193">
        <f t="shared" si="1"/>
        <v>314134.41265649174</v>
      </c>
      <c r="AA10" s="193">
        <f t="shared" si="1"/>
        <v>332747.47830561764</v>
      </c>
      <c r="AB10" s="219"/>
    </row>
    <row r="11" spans="1:28" s="148" customFormat="1" ht="39.950000000000003" customHeight="1" x14ac:dyDescent="0.25">
      <c r="A11" s="209" t="s">
        <v>77</v>
      </c>
      <c r="B11" s="210">
        <f>SUM(B6:B9)-B10</f>
        <v>515253</v>
      </c>
      <c r="C11" s="210">
        <f>SUM(C6:C9)-C10</f>
        <v>550290</v>
      </c>
      <c r="D11" s="210">
        <f>SUM(D6:D9)-D10</f>
        <v>587167</v>
      </c>
      <c r="E11" s="210">
        <f>SUM(E6:E9)-E10</f>
        <v>606628</v>
      </c>
      <c r="F11" s="210">
        <f>SUM(F6:F9)-F10</f>
        <v>614270</v>
      </c>
      <c r="G11" s="210">
        <f>SUM(G6:G9)-G10</f>
        <v>641639</v>
      </c>
      <c r="H11" s="210">
        <f>SUM(H6:H9)-H10</f>
        <v>684066</v>
      </c>
      <c r="I11" s="210">
        <f>SUM(I6:I9)-I10</f>
        <v>710814.99999999988</v>
      </c>
      <c r="J11" s="210">
        <f>SUM(J6:J9)-J10</f>
        <v>746962</v>
      </c>
      <c r="K11" s="210">
        <f>SUM(K6:K9)-K10</f>
        <v>780826</v>
      </c>
      <c r="L11" s="210">
        <f>SUM(L6:L9)-L10</f>
        <v>804692</v>
      </c>
      <c r="M11" s="210">
        <f>SUM(M6:M9)-M10</f>
        <v>821489</v>
      </c>
      <c r="N11" s="210">
        <f>SUM(N6:N9)-N10</f>
        <v>832672.99999999988</v>
      </c>
      <c r="O11" s="210">
        <f>SUM(O6:O9)-O10</f>
        <v>853678</v>
      </c>
      <c r="P11" s="210">
        <f>SUM(P6:P9)-P10</f>
        <v>880508</v>
      </c>
      <c r="Q11" s="210">
        <f>SUM(Q6:Q9)-Q10</f>
        <v>819354</v>
      </c>
      <c r="R11" s="210">
        <f>SUM(R6:R9)-R10</f>
        <v>908744</v>
      </c>
      <c r="S11" s="210">
        <f>SUM(S6:S9)-S10</f>
        <v>975512</v>
      </c>
      <c r="T11" s="210">
        <f>SUM(T6:T9)-T10</f>
        <v>979438</v>
      </c>
      <c r="U11" s="210">
        <f>SUM(U6:U9)-U10</f>
        <v>994448</v>
      </c>
      <c r="V11" s="210">
        <f>SUM(V6:V9)-V10</f>
        <v>1020004.9525913208</v>
      </c>
      <c r="W11" s="210">
        <f t="shared" ref="W11:AA11" si="2">SUM(W6:W9)-W10</f>
        <v>1040766.230067855</v>
      </c>
      <c r="X11" s="210">
        <f t="shared" si="2"/>
        <v>1067061.0040344009</v>
      </c>
      <c r="Y11" s="210">
        <f t="shared" si="2"/>
        <v>1093313.4756365479</v>
      </c>
      <c r="Z11" s="210">
        <f t="shared" si="2"/>
        <v>1119577.1311480175</v>
      </c>
      <c r="AA11" s="210">
        <f t="shared" si="2"/>
        <v>1146787.3190315915</v>
      </c>
    </row>
    <row r="12" spans="1:28" ht="39.950000000000003" customHeight="1" thickBot="1" x14ac:dyDescent="0.3">
      <c r="A12" s="259" t="s">
        <v>80</v>
      </c>
      <c r="B12" s="260">
        <v>0</v>
      </c>
      <c r="C12" s="261">
        <f>(C11/B11)-1</f>
        <v>6.7999604077996656E-2</v>
      </c>
      <c r="D12" s="261">
        <f t="shared" ref="D12:V12" si="3">(D11/C11)-1</f>
        <v>6.7013756382998002E-2</v>
      </c>
      <c r="E12" s="261">
        <f t="shared" si="3"/>
        <v>3.3143892623393345E-2</v>
      </c>
      <c r="F12" s="261">
        <f t="shared" si="3"/>
        <v>1.2597506214681919E-2</v>
      </c>
      <c r="G12" s="261">
        <f t="shared" si="3"/>
        <v>4.4555325833916637E-2</v>
      </c>
      <c r="H12" s="261">
        <f t="shared" si="3"/>
        <v>6.6122851011238382E-2</v>
      </c>
      <c r="I12" s="261">
        <f t="shared" si="3"/>
        <v>3.9102952054333784E-2</v>
      </c>
      <c r="J12" s="261">
        <f t="shared" si="3"/>
        <v>5.0852894212981115E-2</v>
      </c>
      <c r="K12" s="261">
        <f t="shared" si="3"/>
        <v>4.533563956399389E-2</v>
      </c>
      <c r="L12" s="261">
        <f t="shared" si="3"/>
        <v>3.0565068273853635E-2</v>
      </c>
      <c r="M12" s="261">
        <f t="shared" si="3"/>
        <v>2.0873825016279435E-2</v>
      </c>
      <c r="N12" s="261">
        <f t="shared" si="3"/>
        <v>1.3614302808680145E-2</v>
      </c>
      <c r="O12" s="261">
        <f t="shared" si="3"/>
        <v>2.5225989073742072E-2</v>
      </c>
      <c r="P12" s="261">
        <f t="shared" si="3"/>
        <v>3.1428711996795089E-2</v>
      </c>
      <c r="Q12" s="261">
        <f t="shared" si="3"/>
        <v>-6.9453088444398015E-2</v>
      </c>
      <c r="R12" s="261">
        <f t="shared" si="3"/>
        <v>0.1090981431713276</v>
      </c>
      <c r="S12" s="261">
        <f t="shared" si="3"/>
        <v>7.347283723468867E-2</v>
      </c>
      <c r="T12" s="261">
        <f t="shared" si="3"/>
        <v>4.0245532602367629E-3</v>
      </c>
      <c r="U12" s="261">
        <f t="shared" si="3"/>
        <v>1.5325115014937163E-2</v>
      </c>
      <c r="V12" s="261">
        <f t="shared" si="3"/>
        <v>2.5699636975810458E-2</v>
      </c>
      <c r="W12" s="261">
        <f t="shared" ref="W12" si="4">(W11/V11)-1</f>
        <v>2.0354094775510756E-2</v>
      </c>
      <c r="X12" s="261">
        <f t="shared" ref="X12" si="5">(X11/W11)-1</f>
        <v>2.5264822403808784E-2</v>
      </c>
      <c r="Y12" s="261">
        <f t="shared" ref="Y12" si="6">(Y11/X11)-1</f>
        <v>2.4602596761469364E-2</v>
      </c>
      <c r="Z12" s="261">
        <f t="shared" ref="Z12" si="7">(Z11/Y11)-1</f>
        <v>2.4022072440091691E-2</v>
      </c>
      <c r="AA12" s="261">
        <f t="shared" ref="AA12" si="8">(AA11/Z11)-1</f>
        <v>2.4303986859460558E-2</v>
      </c>
    </row>
    <row r="13" spans="1:28" ht="39.950000000000003" customHeight="1" thickBot="1" x14ac:dyDescent="0.3">
      <c r="A13" s="255"/>
      <c r="B13" s="256"/>
      <c r="C13" s="257"/>
      <c r="D13" s="257"/>
      <c r="E13" s="257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</row>
    <row r="14" spans="1:28" ht="39.950000000000003" customHeight="1" thickBot="1" x14ac:dyDescent="0.3">
      <c r="A14" s="191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20" t="s">
        <v>82</v>
      </c>
      <c r="X14" s="221"/>
      <c r="Y14" s="221"/>
      <c r="Z14" s="221"/>
      <c r="AA14" s="222"/>
    </row>
    <row r="15" spans="1:28" ht="39.950000000000003" customHeight="1" thickBot="1" x14ac:dyDescent="0.3">
      <c r="A15" s="241" t="s">
        <v>84</v>
      </c>
      <c r="B15" s="157">
        <v>2005</v>
      </c>
      <c r="C15" s="157">
        <v>2006</v>
      </c>
      <c r="D15" s="157">
        <v>2007</v>
      </c>
      <c r="E15" s="157">
        <v>2008</v>
      </c>
      <c r="F15" s="157">
        <v>2009</v>
      </c>
      <c r="G15" s="157">
        <v>2010</v>
      </c>
      <c r="H15" s="157">
        <v>2011</v>
      </c>
      <c r="I15" s="157">
        <v>2012</v>
      </c>
      <c r="J15" s="157">
        <v>2013</v>
      </c>
      <c r="K15" s="157">
        <v>2014</v>
      </c>
      <c r="L15" s="157">
        <v>2015</v>
      </c>
      <c r="M15" s="157">
        <v>2016</v>
      </c>
      <c r="N15" s="157">
        <v>2017</v>
      </c>
      <c r="O15" s="157">
        <v>2018</v>
      </c>
      <c r="P15" s="157">
        <v>2019</v>
      </c>
      <c r="Q15" s="157">
        <v>2020</v>
      </c>
      <c r="R15" s="157">
        <v>2021</v>
      </c>
      <c r="S15" s="157">
        <v>2022</v>
      </c>
      <c r="T15" s="157">
        <v>2023</v>
      </c>
      <c r="U15" s="157">
        <v>2024</v>
      </c>
      <c r="V15" s="157">
        <v>2025</v>
      </c>
      <c r="W15" s="156">
        <v>2026</v>
      </c>
      <c r="X15" s="156">
        <v>2027</v>
      </c>
      <c r="Y15" s="156">
        <v>2028</v>
      </c>
      <c r="Z15" s="156">
        <v>2029</v>
      </c>
      <c r="AA15" s="156">
        <v>2030</v>
      </c>
    </row>
    <row r="16" spans="1:28" s="143" customFormat="1" x14ac:dyDescent="0.2">
      <c r="A16" s="206" t="s">
        <v>79</v>
      </c>
      <c r="B16" s="242">
        <v>0</v>
      </c>
      <c r="C16" s="249">
        <f>(C6/B6)-1</f>
        <v>6.3691966244290077E-2</v>
      </c>
      <c r="D16" s="249">
        <f>(D6/C6)-1</f>
        <v>6.5528517089766147E-2</v>
      </c>
      <c r="E16" s="249">
        <f>(E6/D6)-1</f>
        <v>4.1150024920242556E-2</v>
      </c>
      <c r="F16" s="249">
        <f>(F6/E6)-1</f>
        <v>1.7082760263021024E-2</v>
      </c>
      <c r="G16" s="249">
        <f>(G6/F6)-1</f>
        <v>5.0526094477202577E-2</v>
      </c>
      <c r="H16" s="249">
        <f>(H6/G6)-1</f>
        <v>5.5007459563706451E-2</v>
      </c>
      <c r="I16" s="249">
        <f>(I6/H6)-1</f>
        <v>5.6338665764155582E-2</v>
      </c>
      <c r="J16" s="249">
        <f>(J6/I6)-1</f>
        <v>4.626897348303971E-2</v>
      </c>
      <c r="K16" s="249">
        <f>(K6/J6)-1</f>
        <v>4.2490818199372393E-2</v>
      </c>
      <c r="L16" s="249">
        <f>(L6/K6)-1</f>
        <v>3.0925153980287501E-2</v>
      </c>
      <c r="M16" s="249">
        <f>(M6/L6)-1</f>
        <v>1.5836286984154624E-2</v>
      </c>
      <c r="N16" s="249">
        <f>(N6/M6)-1</f>
        <v>2.0538143670531861E-2</v>
      </c>
      <c r="O16" s="249">
        <f>(O6/N6)-1</f>
        <v>3.2364963631430266E-2</v>
      </c>
      <c r="P16" s="249">
        <f>(P6/O6)-1</f>
        <v>4.0705551589474975E-2</v>
      </c>
      <c r="Q16" s="249">
        <f>(Q6/P6)-1</f>
        <v>-5.0072670629334182E-2</v>
      </c>
      <c r="R16" s="249">
        <f>(R6/Q6)-1</f>
        <v>0.14724089489311276</v>
      </c>
      <c r="S16" s="249">
        <f>(S6/R6)-1</f>
        <v>0.10789757758978991</v>
      </c>
      <c r="T16" s="249">
        <f>(T6/S6)-1</f>
        <v>5.1322260068773495E-3</v>
      </c>
      <c r="U16" s="249">
        <f>(U6/T6)-1</f>
        <v>1.6401564432128035E-2</v>
      </c>
      <c r="V16" s="249">
        <f>(V6/U6)-1</f>
        <v>3.6317462255631039E-2</v>
      </c>
      <c r="W16" s="252">
        <f>AVERAGE(U16:V16)</f>
        <v>2.6359513343879537E-2</v>
      </c>
      <c r="X16" s="252">
        <f t="shared" ref="X16:AA20" si="9">AVERAGE(V16:W16)</f>
        <v>3.1338487799755288E-2</v>
      </c>
      <c r="Y16" s="252">
        <f t="shared" si="9"/>
        <v>2.8849000571817413E-2</v>
      </c>
      <c r="Z16" s="252">
        <f t="shared" si="9"/>
        <v>3.009374418578635E-2</v>
      </c>
      <c r="AA16" s="252">
        <f t="shared" si="9"/>
        <v>2.9471372378801881E-2</v>
      </c>
    </row>
    <row r="17" spans="1:27" x14ac:dyDescent="0.25">
      <c r="A17" s="207" t="s">
        <v>63</v>
      </c>
      <c r="B17" s="244">
        <v>0</v>
      </c>
      <c r="C17" s="250">
        <f>(C7/B7)-1</f>
        <v>5.2134991119005436E-2</v>
      </c>
      <c r="D17" s="250">
        <f>(D7/C7)-1</f>
        <v>4.5689049754200406E-2</v>
      </c>
      <c r="E17" s="250">
        <f>(E7/D7)-1</f>
        <v>4.6973278055458589E-2</v>
      </c>
      <c r="F17" s="250">
        <f>(F7/E7)-1</f>
        <v>4.7629033849797775E-2</v>
      </c>
      <c r="G17" s="250">
        <f>(G7/F7)-1</f>
        <v>5.2257874595231124E-2</v>
      </c>
      <c r="H17" s="250">
        <f>(H7/G7)-1</f>
        <v>6.4769535490079688E-2</v>
      </c>
      <c r="I17" s="250">
        <f>(I7/H7)-1</f>
        <v>4.8070960893737302E-2</v>
      </c>
      <c r="J17" s="250">
        <f>(J7/I7)-1</f>
        <v>8.89546252193536E-2</v>
      </c>
      <c r="K17" s="250">
        <f>(K7/J7)-1</f>
        <v>4.6760469998894605E-2</v>
      </c>
      <c r="L17" s="250">
        <f>(L7/K7)-1</f>
        <v>4.850713443707444E-2</v>
      </c>
      <c r="M17" s="250">
        <f>(M7/L7)-1</f>
        <v>1.8240091284357662E-2</v>
      </c>
      <c r="N17" s="250">
        <f>(N7/M7)-1</f>
        <v>3.6428206522634676E-2</v>
      </c>
      <c r="O17" s="250">
        <f>(O7/N7)-1</f>
        <v>7.3515498914797694E-2</v>
      </c>
      <c r="P17" s="250">
        <f>(P7/O7)-1</f>
        <v>5.2743834703399273E-2</v>
      </c>
      <c r="Q17" s="250">
        <f>(Q7/P7)-1</f>
        <v>-7.6045359896448339E-3</v>
      </c>
      <c r="R17" s="250">
        <f>(R7/Q7)-1</f>
        <v>9.818460207980384E-2</v>
      </c>
      <c r="S17" s="250">
        <f>(S7/R7)-1</f>
        <v>9.8759375685828488E-3</v>
      </c>
      <c r="T17" s="250">
        <f>(T7/S7)-1</f>
        <v>1.5506353386342209E-2</v>
      </c>
      <c r="U17" s="250">
        <f>(U7/T7)-1</f>
        <v>5.8724304183082054E-3</v>
      </c>
      <c r="V17" s="250">
        <f>(V7/U7)-1</f>
        <v>7.142956962230218E-2</v>
      </c>
      <c r="W17" s="253">
        <f t="shared" ref="W17:W20" si="10">AVERAGE(U17:V17)</f>
        <v>3.8651000020305193E-2</v>
      </c>
      <c r="X17" s="277">
        <v>7.0000000000000007E-2</v>
      </c>
      <c r="Y17" s="277">
        <v>6.5000000000000002E-2</v>
      </c>
      <c r="Z17" s="277">
        <v>6.25E-2</v>
      </c>
      <c r="AA17" s="253">
        <f t="shared" si="9"/>
        <v>6.3750000000000001E-2</v>
      </c>
    </row>
    <row r="18" spans="1:27" x14ac:dyDescent="0.25">
      <c r="A18" s="218" t="s">
        <v>65</v>
      </c>
      <c r="B18" s="246">
        <v>0</v>
      </c>
      <c r="C18" s="250">
        <f>(C8/B8)-1</f>
        <v>0.16933809963099611</v>
      </c>
      <c r="D18" s="250">
        <f>(D8/C8)-1</f>
        <v>0.15797051427444408</v>
      </c>
      <c r="E18" s="250">
        <f>(E8/D8)-1</f>
        <v>9.0833219784711705E-2</v>
      </c>
      <c r="F18" s="250">
        <f>(F8/E8)-1</f>
        <v>-6.2955734249355966E-2</v>
      </c>
      <c r="G18" s="250">
        <f>(G8/F8)-1</f>
        <v>9.5620948794427951E-2</v>
      </c>
      <c r="H18" s="250">
        <f>(H8/G8)-1</f>
        <v>0.18515927393291398</v>
      </c>
      <c r="I18" s="250">
        <f>(I8/H8)-1</f>
        <v>2.8867130354438775E-2</v>
      </c>
      <c r="J18" s="250">
        <f>(J8/I8)-1</f>
        <v>7.8066242181215051E-2</v>
      </c>
      <c r="K18" s="250">
        <f>(K8/J8)-1</f>
        <v>0.1195356021033267</v>
      </c>
      <c r="L18" s="250">
        <f>(L8/K8)-1</f>
        <v>-1.1512248557093652E-2</v>
      </c>
      <c r="M18" s="250">
        <f>(M8/L8)-1</f>
        <v>-1.6256762761035493E-3</v>
      </c>
      <c r="N18" s="250">
        <f>(N8/M8)-1</f>
        <v>-3.2283736661884666E-2</v>
      </c>
      <c r="O18" s="250">
        <f>(O8/N8)-1</f>
        <v>1.5041011102213897E-2</v>
      </c>
      <c r="P18" s="250">
        <f>(P8/O8)-1</f>
        <v>2.9524327320796795E-2</v>
      </c>
      <c r="Q18" s="250">
        <f>(Q8/P8)-1</f>
        <v>-0.20680621495544849</v>
      </c>
      <c r="R18" s="250">
        <f>(R8/Q8)-1</f>
        <v>0.11566353139298835</v>
      </c>
      <c r="S18" s="250">
        <f>(S8/R8)-1</f>
        <v>0.16042896508954319</v>
      </c>
      <c r="T18" s="250">
        <f>(T8/S8)-1</f>
        <v>-0.16102327269793892</v>
      </c>
      <c r="U18" s="250">
        <f>(U8/T8)-1</f>
        <v>2.3929425621672218E-2</v>
      </c>
      <c r="V18" s="250">
        <f>(V8/U8)-1</f>
        <v>2.0889920449185251E-2</v>
      </c>
      <c r="W18" s="253">
        <f t="shared" si="10"/>
        <v>2.2409673035428734E-2</v>
      </c>
      <c r="X18" s="253">
        <f t="shared" si="9"/>
        <v>2.1649796742306993E-2</v>
      </c>
      <c r="Y18" s="253">
        <f t="shared" si="9"/>
        <v>2.2029734888867863E-2</v>
      </c>
      <c r="Z18" s="253">
        <f t="shared" si="9"/>
        <v>2.1839765815587428E-2</v>
      </c>
      <c r="AA18" s="253">
        <f t="shared" si="9"/>
        <v>2.1934750352227646E-2</v>
      </c>
    </row>
    <row r="19" spans="1:27" x14ac:dyDescent="0.25">
      <c r="A19" s="211" t="s">
        <v>69</v>
      </c>
      <c r="B19" s="246">
        <v>0</v>
      </c>
      <c r="C19" s="250">
        <f>(C9/B9)-1</f>
        <v>9.5182978723404421E-2</v>
      </c>
      <c r="D19" s="250">
        <f>(D9/C9)-1</f>
        <v>6.2198874762985135E-2</v>
      </c>
      <c r="E19" s="250">
        <f>(E9/D9)-1</f>
        <v>2.0367552382067E-2</v>
      </c>
      <c r="F19" s="250">
        <f>(F9/E9)-1</f>
        <v>-5.2063018622614532E-2</v>
      </c>
      <c r="G19" s="250">
        <f>(G9/F9)-1</f>
        <v>2.0623651142620769E-2</v>
      </c>
      <c r="H19" s="250">
        <f>(H9/G9)-1</f>
        <v>0.1225754177247711</v>
      </c>
      <c r="I19" s="250">
        <f>(I9/H9)-1</f>
        <v>4.4732765298218347E-2</v>
      </c>
      <c r="J19" s="250">
        <f>(J9/I9)-1</f>
        <v>4.6768893756845564E-2</v>
      </c>
      <c r="K19" s="250">
        <f>(K9/J9)-1</f>
        <v>-2.8895453191779552E-3</v>
      </c>
      <c r="L19" s="250">
        <f>(L9/K9)-1</f>
        <v>1.6580294150885466E-2</v>
      </c>
      <c r="M19" s="250">
        <f>(M9/L9)-1</f>
        <v>-2.0883623427773168E-3</v>
      </c>
      <c r="N19" s="250">
        <f>(N9/M9)-1</f>
        <v>2.5693665305992486E-2</v>
      </c>
      <c r="O19" s="250">
        <f>(O9/N9)-1</f>
        <v>6.423484507610322E-3</v>
      </c>
      <c r="P19" s="250">
        <f>(P9/O9)-1</f>
        <v>3.0840977414630322E-2</v>
      </c>
      <c r="Q19" s="250">
        <f>(Q9/P9)-1</f>
        <v>-0.2245926524141747</v>
      </c>
      <c r="R19" s="250">
        <f>(R9/Q9)-1</f>
        <v>0.14634122820552387</v>
      </c>
      <c r="S19" s="250">
        <f>(S9/R9)-1</f>
        <v>0.12460566496454129</v>
      </c>
      <c r="T19" s="250">
        <f>(T9/S9)-1</f>
        <v>3.1133352782328316E-2</v>
      </c>
      <c r="U19" s="250">
        <f>(U9/T9)-1</f>
        <v>3.9029344553664913E-3</v>
      </c>
      <c r="V19" s="250">
        <f>(V9/U9)-1</f>
        <v>1.8434401125673849E-2</v>
      </c>
      <c r="W19" s="253">
        <f t="shared" si="10"/>
        <v>1.116866779052017E-2</v>
      </c>
      <c r="X19" s="253">
        <f t="shared" si="9"/>
        <v>1.480153445809701E-2</v>
      </c>
      <c r="Y19" s="253">
        <f t="shared" si="9"/>
        <v>1.298510112430859E-2</v>
      </c>
      <c r="Z19" s="253">
        <f t="shared" si="9"/>
        <v>1.38933177912028E-2</v>
      </c>
      <c r="AA19" s="253">
        <f t="shared" si="9"/>
        <v>1.3439209457755695E-2</v>
      </c>
    </row>
    <row r="20" spans="1:27" ht="15.75" thickBot="1" x14ac:dyDescent="0.3">
      <c r="A20" s="215" t="s">
        <v>71</v>
      </c>
      <c r="B20" s="247">
        <v>0</v>
      </c>
      <c r="C20" s="251">
        <f>(C10/B10)-1</f>
        <v>0.17681811251715196</v>
      </c>
      <c r="D20" s="251">
        <f>(D10/C10)-1</f>
        <v>0.13858029689608631</v>
      </c>
      <c r="E20" s="251">
        <f>(E10/D10)-1</f>
        <v>0.12511734195579427</v>
      </c>
      <c r="F20" s="251">
        <f>(F10/E10)-1</f>
        <v>-8.6476874325782105E-2</v>
      </c>
      <c r="G20" s="251">
        <f>(G10/F10)-1</f>
        <v>0.10829835324507586</v>
      </c>
      <c r="H20" s="251">
        <f>(H10/G10)-1</f>
        <v>0.20229077530091377</v>
      </c>
      <c r="I20" s="251">
        <f>(I10/H10)-1</f>
        <v>9.3750865435210384E-2</v>
      </c>
      <c r="J20" s="251">
        <f>(J10/I10)-1</f>
        <v>8.5240256493033906E-2</v>
      </c>
      <c r="K20" s="251">
        <f>(K10/J10)-1</f>
        <v>7.7600135321943764E-2</v>
      </c>
      <c r="L20" s="251">
        <f>(L10/K10)-1</f>
        <v>-1.0809377148207955E-2</v>
      </c>
      <c r="M20" s="251">
        <f>(M10/L10)-1</f>
        <v>-3.5409028727770298E-2</v>
      </c>
      <c r="N20" s="251">
        <f>(N10/M10)-1</f>
        <v>1.0188394533665379E-2</v>
      </c>
      <c r="O20" s="251">
        <f>(O10/N10)-1</f>
        <v>5.8054190650006943E-2</v>
      </c>
      <c r="P20" s="251">
        <f>(P10/O10)-1</f>
        <v>7.3439730804137904E-2</v>
      </c>
      <c r="Q20" s="251">
        <f>(Q10/P10)-1</f>
        <v>-0.20092459826946862</v>
      </c>
      <c r="R20" s="251">
        <f>(R10/Q10)-1</f>
        <v>0.26728666629540943</v>
      </c>
      <c r="S20" s="251">
        <f>(S10/R10)-1</f>
        <v>0.24003222498901433</v>
      </c>
      <c r="T20" s="251">
        <f>(T10/S10)-1</f>
        <v>-0.10029885301865171</v>
      </c>
      <c r="U20" s="251">
        <f>(U10/T10)-1</f>
        <v>1.1636863342348702E-2</v>
      </c>
      <c r="V20" s="251">
        <f>(V10/U10)-1</f>
        <v>8.4193133174436774E-2</v>
      </c>
      <c r="W20" s="254">
        <f t="shared" si="10"/>
        <v>4.7914998258392738E-2</v>
      </c>
      <c r="X20" s="254">
        <f t="shared" si="9"/>
        <v>6.6054065716414756E-2</v>
      </c>
      <c r="Y20" s="254">
        <f t="shared" si="9"/>
        <v>5.6984531987403747E-2</v>
      </c>
      <c r="Z20" s="254">
        <f t="shared" si="9"/>
        <v>6.1519298851909252E-2</v>
      </c>
      <c r="AA20" s="254">
        <f t="shared" si="9"/>
        <v>5.9251915419656499E-2</v>
      </c>
    </row>
    <row r="21" spans="1:27" x14ac:dyDescent="0.25">
      <c r="B21" s="143"/>
    </row>
  </sheetData>
  <mergeCells count="3">
    <mergeCell ref="A1:A2"/>
    <mergeCell ref="W3:AA4"/>
    <mergeCell ref="W14:AA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E01EA-934F-4347-8F78-37AD4AC29EDC}">
  <dimension ref="A1:AD21"/>
  <sheetViews>
    <sheetView topLeftCell="H3" zoomScale="90" zoomScaleNormal="85" workbookViewId="0">
      <selection activeCell="Y19" sqref="Y19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02" t="s">
        <v>78</v>
      </c>
      <c r="B1" s="282" t="s">
        <v>95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</row>
    <row r="2" spans="1:28" ht="39.950000000000003" customHeight="1" thickBot="1" x14ac:dyDescent="0.3">
      <c r="A2" s="202"/>
      <c r="B2" s="282"/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</row>
    <row r="3" spans="1:28" ht="39.950000000000003" customHeight="1" x14ac:dyDescent="0.25">
      <c r="A3" s="142"/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W3" s="181" t="s">
        <v>81</v>
      </c>
      <c r="X3" s="182"/>
      <c r="Y3" s="182"/>
      <c r="Z3" s="182"/>
      <c r="AA3" s="183"/>
    </row>
    <row r="4" spans="1:28" ht="39.950000000000003" customHeight="1" thickBot="1" x14ac:dyDescent="0.3">
      <c r="A4" s="142"/>
      <c r="B4" s="283"/>
      <c r="C4" s="283"/>
      <c r="D4" s="283"/>
      <c r="E4" s="283"/>
      <c r="F4" s="283"/>
      <c r="G4" s="283"/>
      <c r="H4" s="283"/>
      <c r="I4" s="283"/>
      <c r="J4" s="283"/>
      <c r="K4" s="283"/>
      <c r="L4" s="283"/>
      <c r="M4" s="283"/>
      <c r="W4" s="184"/>
      <c r="X4" s="185"/>
      <c r="Y4" s="185"/>
      <c r="Z4" s="185"/>
      <c r="AA4" s="186"/>
    </row>
    <row r="5" spans="1:28" s="200" customFormat="1" ht="39.950000000000003" customHeight="1" thickBot="1" x14ac:dyDescent="0.35">
      <c r="A5" s="201" t="s">
        <v>10</v>
      </c>
      <c r="B5" s="157">
        <v>2005</v>
      </c>
      <c r="C5" s="157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8" ht="39.950000000000003" customHeight="1" x14ac:dyDescent="0.25">
      <c r="A6" s="206" t="s">
        <v>79</v>
      </c>
      <c r="B6" s="208">
        <v>348741</v>
      </c>
      <c r="C6" s="205">
        <v>370953</v>
      </c>
      <c r="D6" s="194">
        <v>395261.00000000006</v>
      </c>
      <c r="E6" s="193">
        <v>411526.00000000006</v>
      </c>
      <c r="F6" s="193">
        <v>418556.00000000006</v>
      </c>
      <c r="G6" s="193">
        <v>439704.00000000006</v>
      </c>
      <c r="H6" s="193">
        <v>463891</v>
      </c>
      <c r="I6" s="193">
        <v>490025.99999999988</v>
      </c>
      <c r="J6" s="193">
        <v>512698.99999999994</v>
      </c>
      <c r="K6" s="193">
        <v>534484</v>
      </c>
      <c r="L6" s="193">
        <v>551013</v>
      </c>
      <c r="M6" s="193">
        <v>559739</v>
      </c>
      <c r="N6" s="193">
        <v>571234.99999999988</v>
      </c>
      <c r="O6" s="193">
        <v>589723</v>
      </c>
      <c r="P6" s="193">
        <v>613728</v>
      </c>
      <c r="Q6" s="193">
        <v>582997</v>
      </c>
      <c r="R6" s="195">
        <v>668838</v>
      </c>
      <c r="S6" s="193">
        <v>741003.99999999988</v>
      </c>
      <c r="T6" s="194">
        <v>744807</v>
      </c>
      <c r="U6" s="193">
        <v>757023</v>
      </c>
      <c r="V6" s="193">
        <v>784516.15422914457</v>
      </c>
      <c r="W6" s="193">
        <f>V6*(1+W16)</f>
        <v>805195.61826503684</v>
      </c>
      <c r="X6" s="193">
        <f t="shared" ref="X6:AA6" si="0">W6*(1+X16)</f>
        <v>830429.23132445221</v>
      </c>
      <c r="Y6" s="193">
        <f t="shared" si="0"/>
        <v>854386.28469378524</v>
      </c>
      <c r="Z6" s="193">
        <f t="shared" si="0"/>
        <v>880097.96698120434</v>
      </c>
      <c r="AA6" s="193">
        <f t="shared" si="0"/>
        <v>906035.66189593379</v>
      </c>
      <c r="AB6" s="192"/>
    </row>
    <row r="7" spans="1:28" ht="39.950000000000003" customHeight="1" x14ac:dyDescent="0.25">
      <c r="A7" s="207" t="s">
        <v>63</v>
      </c>
      <c r="B7" s="204">
        <v>70375</v>
      </c>
      <c r="C7" s="197">
        <v>74044</v>
      </c>
      <c r="D7" s="198">
        <v>77427.000000000015</v>
      </c>
      <c r="E7" s="197">
        <v>81064</v>
      </c>
      <c r="F7" s="197">
        <v>84925</v>
      </c>
      <c r="G7" s="197">
        <v>89363</v>
      </c>
      <c r="H7" s="197">
        <v>95151</v>
      </c>
      <c r="I7" s="197">
        <v>99725</v>
      </c>
      <c r="J7" s="197">
        <v>108596.00000000003</v>
      </c>
      <c r="K7" s="197">
        <v>113674</v>
      </c>
      <c r="L7" s="197">
        <v>119188</v>
      </c>
      <c r="M7" s="197">
        <v>121362.00000000001</v>
      </c>
      <c r="N7" s="197">
        <v>125783</v>
      </c>
      <c r="O7" s="197">
        <v>135030</v>
      </c>
      <c r="P7" s="197">
        <v>142152</v>
      </c>
      <c r="Q7" s="197">
        <v>141071</v>
      </c>
      <c r="R7" s="199">
        <v>154922</v>
      </c>
      <c r="S7" s="197">
        <v>156452</v>
      </c>
      <c r="T7" s="213">
        <v>158878</v>
      </c>
      <c r="U7" s="196">
        <v>159810.99999999997</v>
      </c>
      <c r="V7" s="197">
        <v>171226.2309509097</v>
      </c>
      <c r="W7" s="196">
        <f t="shared" ref="W7:AA10" si="1">V7*(1+W17)</f>
        <v>177844.29600687011</v>
      </c>
      <c r="X7" s="196">
        <f t="shared" si="1"/>
        <v>190293.39672735104</v>
      </c>
      <c r="Y7" s="196">
        <f t="shared" si="1"/>
        <v>202662.46751462884</v>
      </c>
      <c r="Z7" s="196">
        <f t="shared" si="1"/>
        <v>215328.87173429315</v>
      </c>
      <c r="AA7" s="196">
        <f t="shared" si="1"/>
        <v>229056.08730735432</v>
      </c>
      <c r="AB7" s="192"/>
    </row>
    <row r="8" spans="1:28" s="148" customFormat="1" ht="39.950000000000003" customHeight="1" x14ac:dyDescent="0.25">
      <c r="A8" s="218" t="s">
        <v>65</v>
      </c>
      <c r="B8" s="203">
        <v>86720.000000000015</v>
      </c>
      <c r="C8" s="193">
        <v>101405</v>
      </c>
      <c r="D8" s="194">
        <v>117424</v>
      </c>
      <c r="E8" s="193">
        <v>128090</v>
      </c>
      <c r="F8" s="193">
        <v>120026</v>
      </c>
      <c r="G8" s="193">
        <v>131503</v>
      </c>
      <c r="H8" s="193">
        <v>155852</v>
      </c>
      <c r="I8" s="193">
        <v>160351</v>
      </c>
      <c r="J8" s="193">
        <v>172869</v>
      </c>
      <c r="K8" s="193">
        <v>193533</v>
      </c>
      <c r="L8" s="193">
        <v>191305</v>
      </c>
      <c r="M8" s="193">
        <v>190994</v>
      </c>
      <c r="N8" s="193">
        <v>184828</v>
      </c>
      <c r="O8" s="193">
        <v>187607.99999999997</v>
      </c>
      <c r="P8" s="193">
        <v>193147</v>
      </c>
      <c r="Q8" s="193">
        <v>153203</v>
      </c>
      <c r="R8" s="195">
        <v>170923</v>
      </c>
      <c r="S8" s="193">
        <v>198344</v>
      </c>
      <c r="T8" s="194">
        <v>166406</v>
      </c>
      <c r="U8" s="193">
        <v>170387.99999999997</v>
      </c>
      <c r="V8" s="193">
        <v>173947.39176549573</v>
      </c>
      <c r="W8" s="193">
        <f t="shared" si="1"/>
        <v>177845.49594032613</v>
      </c>
      <c r="X8" s="193">
        <f t="shared" si="1"/>
        <v>181695.81477896898</v>
      </c>
      <c r="Y8" s="193">
        <f t="shared" si="1"/>
        <v>185698.5254089665</v>
      </c>
      <c r="Z8" s="193">
        <f t="shared" si="1"/>
        <v>189754.13771619822</v>
      </c>
      <c r="AA8" s="193">
        <f t="shared" si="1"/>
        <v>193916.34735530525</v>
      </c>
      <c r="AB8" s="219"/>
    </row>
    <row r="9" spans="1:28" s="148" customFormat="1" ht="39.950000000000003" customHeight="1" x14ac:dyDescent="0.25">
      <c r="A9" s="211" t="s">
        <v>69</v>
      </c>
      <c r="B9" s="212">
        <v>88125</v>
      </c>
      <c r="C9" s="196">
        <v>96513.000000000015</v>
      </c>
      <c r="D9" s="213">
        <v>102516</v>
      </c>
      <c r="E9" s="196">
        <v>104603.99999999999</v>
      </c>
      <c r="F9" s="196">
        <v>99158.000000000015</v>
      </c>
      <c r="G9" s="196">
        <v>101203</v>
      </c>
      <c r="H9" s="196">
        <v>113608</v>
      </c>
      <c r="I9" s="196">
        <v>118690</v>
      </c>
      <c r="J9" s="196">
        <v>124241</v>
      </c>
      <c r="K9" s="196">
        <v>123882.00000000001</v>
      </c>
      <c r="L9" s="196">
        <v>125936</v>
      </c>
      <c r="M9" s="196">
        <v>125673</v>
      </c>
      <c r="N9" s="196">
        <v>128902</v>
      </c>
      <c r="O9" s="196">
        <v>129730</v>
      </c>
      <c r="P9" s="196">
        <v>133731</v>
      </c>
      <c r="Q9" s="196">
        <v>103696</v>
      </c>
      <c r="R9" s="214">
        <v>118871</v>
      </c>
      <c r="S9" s="196">
        <v>133683</v>
      </c>
      <c r="T9" s="213">
        <v>137845</v>
      </c>
      <c r="U9" s="196">
        <v>138383</v>
      </c>
      <c r="V9" s="196">
        <v>140934.00773097412</v>
      </c>
      <c r="W9" s="196">
        <f t="shared" si="1"/>
        <v>147980.70811752282</v>
      </c>
      <c r="X9" s="196">
        <f t="shared" si="1"/>
        <v>153044.19368661073</v>
      </c>
      <c r="Y9" s="196">
        <f t="shared" si="1"/>
        <v>159488.67046395221</v>
      </c>
      <c r="Z9" s="196">
        <f t="shared" si="1"/>
        <v>165575.22071332557</v>
      </c>
      <c r="AA9" s="196">
        <f t="shared" si="1"/>
        <v>172220.70643631532</v>
      </c>
      <c r="AB9" s="219"/>
    </row>
    <row r="10" spans="1:28" s="148" customFormat="1" ht="39.950000000000003" customHeight="1" thickBot="1" x14ac:dyDescent="0.3">
      <c r="A10" s="215" t="s">
        <v>71</v>
      </c>
      <c r="B10" s="216">
        <v>78708</v>
      </c>
      <c r="C10" s="217">
        <v>92625</v>
      </c>
      <c r="D10" s="194">
        <v>105460.99999999999</v>
      </c>
      <c r="E10" s="193">
        <v>118656</v>
      </c>
      <c r="F10" s="193">
        <v>108395</v>
      </c>
      <c r="G10" s="193">
        <v>120134</v>
      </c>
      <c r="H10" s="193">
        <v>144435.99999999997</v>
      </c>
      <c r="I10" s="193">
        <v>157977</v>
      </c>
      <c r="J10" s="193">
        <v>171443</v>
      </c>
      <c r="K10" s="193">
        <v>184747</v>
      </c>
      <c r="L10" s="193">
        <v>182750.00000000003</v>
      </c>
      <c r="M10" s="193">
        <v>176279</v>
      </c>
      <c r="N10" s="193">
        <v>178075</v>
      </c>
      <c r="O10" s="193">
        <v>188413</v>
      </c>
      <c r="P10" s="193">
        <v>202250.00000000003</v>
      </c>
      <c r="Q10" s="193">
        <v>161613</v>
      </c>
      <c r="R10" s="195">
        <v>204810</v>
      </c>
      <c r="S10" s="193">
        <v>253971.00000000003</v>
      </c>
      <c r="T10" s="194">
        <v>228498.00000000003</v>
      </c>
      <c r="U10" s="193">
        <v>231157</v>
      </c>
      <c r="V10" s="193">
        <v>250618.83208520326</v>
      </c>
      <c r="W10" s="193">
        <f t="shared" si="1"/>
        <v>262627.23298808624</v>
      </c>
      <c r="X10" s="193">
        <f t="shared" si="1"/>
        <v>279974.82949480147</v>
      </c>
      <c r="Y10" s="193">
        <f t="shared" si="1"/>
        <v>295929.0641218159</v>
      </c>
      <c r="Z10" s="193">
        <f t="shared" si="1"/>
        <v>314134.41265649174</v>
      </c>
      <c r="AA10" s="193">
        <f t="shared" si="1"/>
        <v>332747.47830561764</v>
      </c>
      <c r="AB10" s="219"/>
    </row>
    <row r="11" spans="1:28" s="148" customFormat="1" ht="39.950000000000003" customHeight="1" x14ac:dyDescent="0.25">
      <c r="A11" s="209" t="s">
        <v>77</v>
      </c>
      <c r="B11" s="210">
        <f>SUM(B6:B9)-B10</f>
        <v>515253</v>
      </c>
      <c r="C11" s="210">
        <f>SUM(C6:C9)-C10</f>
        <v>550290</v>
      </c>
      <c r="D11" s="210">
        <f>SUM(D6:D9)-D10</f>
        <v>587167</v>
      </c>
      <c r="E11" s="210">
        <f>SUM(E6:E9)-E10</f>
        <v>606628</v>
      </c>
      <c r="F11" s="210">
        <f>SUM(F6:F9)-F10</f>
        <v>614270</v>
      </c>
      <c r="G11" s="210">
        <f>SUM(G6:G9)-G10</f>
        <v>641639</v>
      </c>
      <c r="H11" s="210">
        <f>SUM(H6:H9)-H10</f>
        <v>684066</v>
      </c>
      <c r="I11" s="210">
        <f>SUM(I6:I9)-I10</f>
        <v>710814.99999999988</v>
      </c>
      <c r="J11" s="210">
        <f>SUM(J6:J9)-J10</f>
        <v>746962</v>
      </c>
      <c r="K11" s="210">
        <f>SUM(K6:K9)-K10</f>
        <v>780826</v>
      </c>
      <c r="L11" s="210">
        <f>SUM(L6:L9)-L10</f>
        <v>804692</v>
      </c>
      <c r="M11" s="210">
        <f>SUM(M6:M9)-M10</f>
        <v>821489</v>
      </c>
      <c r="N11" s="210">
        <f>SUM(N6:N9)-N10</f>
        <v>832672.99999999988</v>
      </c>
      <c r="O11" s="210">
        <f>SUM(O6:O9)-O10</f>
        <v>853678</v>
      </c>
      <c r="P11" s="210">
        <f>SUM(P6:P9)-P10</f>
        <v>880508</v>
      </c>
      <c r="Q11" s="210">
        <f>SUM(Q6:Q9)-Q10</f>
        <v>819354</v>
      </c>
      <c r="R11" s="210">
        <f>SUM(R6:R9)-R10</f>
        <v>908744</v>
      </c>
      <c r="S11" s="210">
        <f>SUM(S6:S9)-S10</f>
        <v>975512</v>
      </c>
      <c r="T11" s="210">
        <f>SUM(T6:T9)-T10</f>
        <v>979438</v>
      </c>
      <c r="U11" s="210">
        <f>SUM(U6:U9)-U10</f>
        <v>994448</v>
      </c>
      <c r="V11" s="210">
        <f>SUM(V6:V9)-V10</f>
        <v>1020004.9525913208</v>
      </c>
      <c r="W11" s="210">
        <f t="shared" ref="W11:AA11" si="2">SUM(W6:W9)-W10</f>
        <v>1046238.8853416697</v>
      </c>
      <c r="X11" s="210">
        <f t="shared" si="2"/>
        <v>1075487.8070225813</v>
      </c>
      <c r="Y11" s="210">
        <f t="shared" si="2"/>
        <v>1106306.8839595169</v>
      </c>
      <c r="Z11" s="210">
        <f t="shared" si="2"/>
        <v>1136621.7844885294</v>
      </c>
      <c r="AA11" s="210">
        <f t="shared" si="2"/>
        <v>1168481.324689291</v>
      </c>
    </row>
    <row r="12" spans="1:28" ht="39.950000000000003" customHeight="1" thickBot="1" x14ac:dyDescent="0.3">
      <c r="A12" s="259" t="s">
        <v>80</v>
      </c>
      <c r="B12" s="260">
        <v>0</v>
      </c>
      <c r="C12" s="261">
        <f>(C11/B11)-1</f>
        <v>6.7999604077996656E-2</v>
      </c>
      <c r="D12" s="261">
        <f t="shared" ref="D12:AA12" si="3">(D11/C11)-1</f>
        <v>6.7013756382998002E-2</v>
      </c>
      <c r="E12" s="261">
        <f t="shared" si="3"/>
        <v>3.3143892623393345E-2</v>
      </c>
      <c r="F12" s="261">
        <f t="shared" si="3"/>
        <v>1.2597506214681919E-2</v>
      </c>
      <c r="G12" s="261">
        <f t="shared" si="3"/>
        <v>4.4555325833916637E-2</v>
      </c>
      <c r="H12" s="261">
        <f t="shared" si="3"/>
        <v>6.6122851011238382E-2</v>
      </c>
      <c r="I12" s="261">
        <f t="shared" si="3"/>
        <v>3.9102952054333784E-2</v>
      </c>
      <c r="J12" s="261">
        <f t="shared" si="3"/>
        <v>5.0852894212981115E-2</v>
      </c>
      <c r="K12" s="261">
        <f t="shared" si="3"/>
        <v>4.533563956399389E-2</v>
      </c>
      <c r="L12" s="261">
        <f t="shared" si="3"/>
        <v>3.0565068273853635E-2</v>
      </c>
      <c r="M12" s="261">
        <f t="shared" si="3"/>
        <v>2.0873825016279435E-2</v>
      </c>
      <c r="N12" s="261">
        <f t="shared" si="3"/>
        <v>1.3614302808680145E-2</v>
      </c>
      <c r="O12" s="261">
        <f t="shared" si="3"/>
        <v>2.5225989073742072E-2</v>
      </c>
      <c r="P12" s="261">
        <f t="shared" si="3"/>
        <v>3.1428711996795089E-2</v>
      </c>
      <c r="Q12" s="261">
        <f t="shared" si="3"/>
        <v>-6.9453088444398015E-2</v>
      </c>
      <c r="R12" s="261">
        <f t="shared" si="3"/>
        <v>0.1090981431713276</v>
      </c>
      <c r="S12" s="261">
        <f t="shared" si="3"/>
        <v>7.347283723468867E-2</v>
      </c>
      <c r="T12" s="261">
        <f t="shared" si="3"/>
        <v>4.0245532602367629E-3</v>
      </c>
      <c r="U12" s="261">
        <f t="shared" si="3"/>
        <v>1.5325115014937163E-2</v>
      </c>
      <c r="V12" s="261">
        <f t="shared" si="3"/>
        <v>2.5699636975810458E-2</v>
      </c>
      <c r="W12" s="261">
        <f t="shared" si="3"/>
        <v>2.5719417031948355E-2</v>
      </c>
      <c r="X12" s="261">
        <f t="shared" si="3"/>
        <v>2.7956255584363765E-2</v>
      </c>
      <c r="Y12" s="261">
        <f t="shared" si="3"/>
        <v>2.865590547442487E-2</v>
      </c>
      <c r="Z12" s="261">
        <f t="shared" si="3"/>
        <v>2.7401890893523406E-2</v>
      </c>
      <c r="AA12" s="261">
        <f t="shared" si="3"/>
        <v>2.8030027785450162E-2</v>
      </c>
    </row>
    <row r="13" spans="1:28" ht="39.950000000000003" customHeight="1" thickBot="1" x14ac:dyDescent="0.3">
      <c r="A13" s="255"/>
      <c r="B13" s="256"/>
      <c r="C13" s="257"/>
      <c r="D13" s="257"/>
      <c r="E13" s="257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</row>
    <row r="14" spans="1:28" ht="39.950000000000003" customHeight="1" thickBot="1" x14ac:dyDescent="0.3">
      <c r="A14" s="191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20" t="s">
        <v>82</v>
      </c>
      <c r="X14" s="221"/>
      <c r="Y14" s="221"/>
      <c r="Z14" s="221"/>
      <c r="AA14" s="222"/>
    </row>
    <row r="15" spans="1:28" ht="39.950000000000003" customHeight="1" thickBot="1" x14ac:dyDescent="0.3">
      <c r="A15" s="241" t="s">
        <v>84</v>
      </c>
      <c r="B15" s="157">
        <v>2005</v>
      </c>
      <c r="C15" s="157">
        <v>2006</v>
      </c>
      <c r="D15" s="157">
        <v>2007</v>
      </c>
      <c r="E15" s="157">
        <v>2008</v>
      </c>
      <c r="F15" s="157">
        <v>2009</v>
      </c>
      <c r="G15" s="157">
        <v>2010</v>
      </c>
      <c r="H15" s="157">
        <v>2011</v>
      </c>
      <c r="I15" s="157">
        <v>2012</v>
      </c>
      <c r="J15" s="157">
        <v>2013</v>
      </c>
      <c r="K15" s="157">
        <v>2014</v>
      </c>
      <c r="L15" s="157">
        <v>2015</v>
      </c>
      <c r="M15" s="157">
        <v>2016</v>
      </c>
      <c r="N15" s="157">
        <v>2017</v>
      </c>
      <c r="O15" s="157">
        <v>2018</v>
      </c>
      <c r="P15" s="157">
        <v>2019</v>
      </c>
      <c r="Q15" s="157">
        <v>2020</v>
      </c>
      <c r="R15" s="157">
        <v>2021</v>
      </c>
      <c r="S15" s="157">
        <v>2022</v>
      </c>
      <c r="T15" s="157">
        <v>2023</v>
      </c>
      <c r="U15" s="157">
        <v>2024</v>
      </c>
      <c r="V15" s="157">
        <v>2025</v>
      </c>
      <c r="W15" s="156">
        <v>2026</v>
      </c>
      <c r="X15" s="156">
        <v>2027</v>
      </c>
      <c r="Y15" s="156">
        <v>2028</v>
      </c>
      <c r="Z15" s="156">
        <v>2029</v>
      </c>
      <c r="AA15" s="156">
        <v>2030</v>
      </c>
    </row>
    <row r="16" spans="1:28" s="143" customFormat="1" x14ac:dyDescent="0.2">
      <c r="A16" s="206" t="s">
        <v>79</v>
      </c>
      <c r="B16" s="242">
        <v>0</v>
      </c>
      <c r="C16" s="243">
        <f>(C6/B6)-1</f>
        <v>6.3691966244290077E-2</v>
      </c>
      <c r="D16" s="243">
        <f>(D6/C6)-1</f>
        <v>6.5528517089766147E-2</v>
      </c>
      <c r="E16" s="243">
        <f>(E6/D6)-1</f>
        <v>4.1150024920242556E-2</v>
      </c>
      <c r="F16" s="243">
        <f>(F6/E6)-1</f>
        <v>1.7082760263021024E-2</v>
      </c>
      <c r="G16" s="243">
        <f>(G6/F6)-1</f>
        <v>5.0526094477202577E-2</v>
      </c>
      <c r="H16" s="249">
        <f>(H6/G6)-1</f>
        <v>5.5007459563706451E-2</v>
      </c>
      <c r="I16" s="249">
        <f>(I6/H6)-1</f>
        <v>5.6338665764155582E-2</v>
      </c>
      <c r="J16" s="249">
        <f>(J6/I6)-1</f>
        <v>4.626897348303971E-2</v>
      </c>
      <c r="K16" s="249">
        <f>(K6/J6)-1</f>
        <v>4.2490818199372393E-2</v>
      </c>
      <c r="L16" s="249">
        <f>(L6/K6)-1</f>
        <v>3.0925153980287501E-2</v>
      </c>
      <c r="M16" s="249">
        <f>(M6/L6)-1</f>
        <v>1.5836286984154624E-2</v>
      </c>
      <c r="N16" s="249">
        <f>(N6/M6)-1</f>
        <v>2.0538143670531861E-2</v>
      </c>
      <c r="O16" s="249">
        <f>(O6/N6)-1</f>
        <v>3.2364963631430266E-2</v>
      </c>
      <c r="P16" s="249">
        <f>(P6/O6)-1</f>
        <v>4.0705551589474975E-2</v>
      </c>
      <c r="Q16" s="249">
        <f>(Q6/P6)-1</f>
        <v>-5.0072670629334182E-2</v>
      </c>
      <c r="R16" s="249">
        <f>(R6/Q6)-1</f>
        <v>0.14724089489311276</v>
      </c>
      <c r="S16" s="249">
        <f>(S6/R6)-1</f>
        <v>0.10789757758978991</v>
      </c>
      <c r="T16" s="249">
        <f>(T6/S6)-1</f>
        <v>5.1322260068773495E-3</v>
      </c>
      <c r="U16" s="249">
        <f>(U6/T6)-1</f>
        <v>1.6401564432128035E-2</v>
      </c>
      <c r="V16" s="249">
        <f>(V6/U6)-1</f>
        <v>3.6317462255631039E-2</v>
      </c>
      <c r="W16" s="252">
        <f>AVERAGE(U16:V16)</f>
        <v>2.6359513343879537E-2</v>
      </c>
      <c r="X16" s="252">
        <f t="shared" ref="X16:AA20" si="4">AVERAGE(V16:W16)</f>
        <v>3.1338487799755288E-2</v>
      </c>
      <c r="Y16" s="252">
        <f t="shared" si="4"/>
        <v>2.8849000571817413E-2</v>
      </c>
      <c r="Z16" s="252">
        <f t="shared" si="4"/>
        <v>3.009374418578635E-2</v>
      </c>
      <c r="AA16" s="252">
        <f t="shared" si="4"/>
        <v>2.9471372378801881E-2</v>
      </c>
    </row>
    <row r="17" spans="1:30" x14ac:dyDescent="0.25">
      <c r="A17" s="207" t="s">
        <v>63</v>
      </c>
      <c r="B17" s="244">
        <v>0</v>
      </c>
      <c r="C17" s="245">
        <f>(C7/B7)-1</f>
        <v>5.2134991119005436E-2</v>
      </c>
      <c r="D17" s="245">
        <f>(D7/C7)-1</f>
        <v>4.5689049754200406E-2</v>
      </c>
      <c r="E17" s="245">
        <f>(E7/D7)-1</f>
        <v>4.6973278055458589E-2</v>
      </c>
      <c r="F17" s="245">
        <f>(F7/E7)-1</f>
        <v>4.7629033849797775E-2</v>
      </c>
      <c r="G17" s="245">
        <f>(G7/F7)-1</f>
        <v>5.2257874595231124E-2</v>
      </c>
      <c r="H17" s="250">
        <f>(H7/G7)-1</f>
        <v>6.4769535490079688E-2</v>
      </c>
      <c r="I17" s="250">
        <f>(I7/H7)-1</f>
        <v>4.8070960893737302E-2</v>
      </c>
      <c r="J17" s="250">
        <f>(J7/I7)-1</f>
        <v>8.89546252193536E-2</v>
      </c>
      <c r="K17" s="250">
        <f>(K7/J7)-1</f>
        <v>4.6760469998894605E-2</v>
      </c>
      <c r="L17" s="250">
        <f>(L7/K7)-1</f>
        <v>4.850713443707444E-2</v>
      </c>
      <c r="M17" s="250">
        <f>(M7/L7)-1</f>
        <v>1.8240091284357662E-2</v>
      </c>
      <c r="N17" s="250">
        <f>(N7/M7)-1</f>
        <v>3.6428206522634676E-2</v>
      </c>
      <c r="O17" s="250">
        <f>(O7/N7)-1</f>
        <v>7.3515498914797694E-2</v>
      </c>
      <c r="P17" s="250">
        <f>(P7/O7)-1</f>
        <v>5.2743834703399273E-2</v>
      </c>
      <c r="Q17" s="250">
        <f>(Q7/P7)-1</f>
        <v>-7.6045359896448339E-3</v>
      </c>
      <c r="R17" s="250">
        <f>(R7/Q7)-1</f>
        <v>9.818460207980384E-2</v>
      </c>
      <c r="S17" s="250">
        <f>(S7/R7)-1</f>
        <v>9.8759375685828488E-3</v>
      </c>
      <c r="T17" s="250">
        <f>(T7/S7)-1</f>
        <v>1.5506353386342209E-2</v>
      </c>
      <c r="U17" s="250">
        <f>(U7/T7)-1</f>
        <v>5.8724304183082054E-3</v>
      </c>
      <c r="V17" s="250">
        <f>(V7/U7)-1</f>
        <v>7.142956962230218E-2</v>
      </c>
      <c r="W17" s="253">
        <f t="shared" ref="W17:W20" si="5">AVERAGE(U17:V17)</f>
        <v>3.8651000020305193E-2</v>
      </c>
      <c r="X17" s="277">
        <v>7.0000000000000007E-2</v>
      </c>
      <c r="Y17" s="277">
        <v>6.5000000000000002E-2</v>
      </c>
      <c r="Z17" s="277">
        <v>6.25E-2</v>
      </c>
      <c r="AA17" s="253">
        <f t="shared" si="4"/>
        <v>6.3750000000000001E-2</v>
      </c>
    </row>
    <row r="18" spans="1:30" x14ac:dyDescent="0.25">
      <c r="A18" s="218" t="s">
        <v>65</v>
      </c>
      <c r="B18" s="246">
        <v>0</v>
      </c>
      <c r="C18" s="245">
        <f>(C8/B8)-1</f>
        <v>0.16933809963099611</v>
      </c>
      <c r="D18" s="245">
        <f>(D8/C8)-1</f>
        <v>0.15797051427444408</v>
      </c>
      <c r="E18" s="245">
        <f>(E8/D8)-1</f>
        <v>9.0833219784711705E-2</v>
      </c>
      <c r="F18" s="245">
        <f>(F8/E8)-1</f>
        <v>-6.2955734249355966E-2</v>
      </c>
      <c r="G18" s="245">
        <f>(G8/F8)-1</f>
        <v>9.5620948794427951E-2</v>
      </c>
      <c r="H18" s="250">
        <f>(H8/G8)-1</f>
        <v>0.18515927393291398</v>
      </c>
      <c r="I18" s="250">
        <f>(I8/H8)-1</f>
        <v>2.8867130354438775E-2</v>
      </c>
      <c r="J18" s="250">
        <f>(J8/I8)-1</f>
        <v>7.8066242181215051E-2</v>
      </c>
      <c r="K18" s="250">
        <f>(K8/J8)-1</f>
        <v>0.1195356021033267</v>
      </c>
      <c r="L18" s="250">
        <f>(L8/K8)-1</f>
        <v>-1.1512248557093652E-2</v>
      </c>
      <c r="M18" s="250">
        <f>(M8/L8)-1</f>
        <v>-1.6256762761035493E-3</v>
      </c>
      <c r="N18" s="250">
        <f>(N8/M8)-1</f>
        <v>-3.2283736661884666E-2</v>
      </c>
      <c r="O18" s="250">
        <f>(O8/N8)-1</f>
        <v>1.5041011102213897E-2</v>
      </c>
      <c r="P18" s="250">
        <f>(P8/O8)-1</f>
        <v>2.9524327320796795E-2</v>
      </c>
      <c r="Q18" s="250">
        <f>(Q8/P8)-1</f>
        <v>-0.20680621495544849</v>
      </c>
      <c r="R18" s="250">
        <f>(R8/Q8)-1</f>
        <v>0.11566353139298835</v>
      </c>
      <c r="S18" s="250">
        <f>(S8/R8)-1</f>
        <v>0.16042896508954319</v>
      </c>
      <c r="T18" s="250">
        <f>(T8/S8)-1</f>
        <v>-0.16102327269793892</v>
      </c>
      <c r="U18" s="250">
        <f>(U8/T8)-1</f>
        <v>2.3929425621672218E-2</v>
      </c>
      <c r="V18" s="250">
        <f>(V8/U8)-1</f>
        <v>2.0889920449185251E-2</v>
      </c>
      <c r="W18" s="253">
        <f t="shared" si="5"/>
        <v>2.2409673035428734E-2</v>
      </c>
      <c r="X18" s="253">
        <f t="shared" si="4"/>
        <v>2.1649796742306993E-2</v>
      </c>
      <c r="Y18" s="253">
        <f t="shared" si="4"/>
        <v>2.2029734888867863E-2</v>
      </c>
      <c r="Z18" s="253">
        <f t="shared" si="4"/>
        <v>2.1839765815587428E-2</v>
      </c>
      <c r="AA18" s="253">
        <f t="shared" si="4"/>
        <v>2.1934750352227646E-2</v>
      </c>
    </row>
    <row r="19" spans="1:30" x14ac:dyDescent="0.25">
      <c r="A19" s="211" t="s">
        <v>69</v>
      </c>
      <c r="B19" s="246">
        <v>0</v>
      </c>
      <c r="C19" s="245">
        <f>(C9/B9)-1</f>
        <v>9.5182978723404421E-2</v>
      </c>
      <c r="D19" s="245">
        <f>(D9/C9)-1</f>
        <v>6.2198874762985135E-2</v>
      </c>
      <c r="E19" s="245">
        <f>(E9/D9)-1</f>
        <v>2.0367552382067E-2</v>
      </c>
      <c r="F19" s="245">
        <f>(F9/E9)-1</f>
        <v>-5.2063018622614532E-2</v>
      </c>
      <c r="G19" s="245">
        <f>(G9/F9)-1</f>
        <v>2.0623651142620769E-2</v>
      </c>
      <c r="H19" s="250">
        <f>(H9/G9)-1</f>
        <v>0.1225754177247711</v>
      </c>
      <c r="I19" s="250">
        <f>(I9/H9)-1</f>
        <v>4.4732765298218347E-2</v>
      </c>
      <c r="J19" s="250">
        <f>(J9/I9)-1</f>
        <v>4.6768893756845564E-2</v>
      </c>
      <c r="K19" s="250">
        <f>(K9/J9)-1</f>
        <v>-2.8895453191779552E-3</v>
      </c>
      <c r="L19" s="250">
        <f>(L9/K9)-1</f>
        <v>1.6580294150885466E-2</v>
      </c>
      <c r="M19" s="250">
        <f>(M9/L9)-1</f>
        <v>-2.0883623427773168E-3</v>
      </c>
      <c r="N19" s="250">
        <f>(N9/M9)-1</f>
        <v>2.5693665305992486E-2</v>
      </c>
      <c r="O19" s="250">
        <f>(O9/N9)-1</f>
        <v>6.423484507610322E-3</v>
      </c>
      <c r="P19" s="250">
        <f>(P9/O9)-1</f>
        <v>3.0840977414630322E-2</v>
      </c>
      <c r="Q19" s="250">
        <f>(Q9/P9)-1</f>
        <v>-0.2245926524141747</v>
      </c>
      <c r="R19" s="250">
        <f>(R9/Q9)-1</f>
        <v>0.14634122820552387</v>
      </c>
      <c r="S19" s="250">
        <f>(S9/R9)-1</f>
        <v>0.12460566496454129</v>
      </c>
      <c r="T19" s="250">
        <f>(T9/S9)-1</f>
        <v>3.1133352782328316E-2</v>
      </c>
      <c r="U19" s="250">
        <f>(U9/T9)-1</f>
        <v>3.9029344553664913E-3</v>
      </c>
      <c r="V19" s="250">
        <f>(V9/U9)-1</f>
        <v>1.8434401125673849E-2</v>
      </c>
      <c r="W19" s="287">
        <v>0.05</v>
      </c>
      <c r="X19" s="287">
        <f t="shared" si="4"/>
        <v>3.4217200562836926E-2</v>
      </c>
      <c r="Y19" s="287">
        <f t="shared" si="4"/>
        <v>4.2108600281418468E-2</v>
      </c>
      <c r="Z19" s="287">
        <f t="shared" si="4"/>
        <v>3.8162900422127694E-2</v>
      </c>
      <c r="AA19" s="287">
        <f t="shared" si="4"/>
        <v>4.0135750351773081E-2</v>
      </c>
      <c r="AB19" s="291" t="s">
        <v>100</v>
      </c>
      <c r="AC19" s="292"/>
      <c r="AD19" s="292"/>
    </row>
    <row r="20" spans="1:30" ht="15.75" thickBot="1" x14ac:dyDescent="0.3">
      <c r="A20" s="215" t="s">
        <v>71</v>
      </c>
      <c r="B20" s="247">
        <v>0</v>
      </c>
      <c r="C20" s="248">
        <f>(C10/B10)-1</f>
        <v>0.17681811251715196</v>
      </c>
      <c r="D20" s="248">
        <f>(D10/C10)-1</f>
        <v>0.13858029689608631</v>
      </c>
      <c r="E20" s="248">
        <f>(E10/D10)-1</f>
        <v>0.12511734195579427</v>
      </c>
      <c r="F20" s="248">
        <f>(F10/E10)-1</f>
        <v>-8.6476874325782105E-2</v>
      </c>
      <c r="G20" s="248">
        <f>(G10/F10)-1</f>
        <v>0.10829835324507586</v>
      </c>
      <c r="H20" s="251">
        <f>(H10/G10)-1</f>
        <v>0.20229077530091377</v>
      </c>
      <c r="I20" s="251">
        <f>(I10/H10)-1</f>
        <v>9.3750865435210384E-2</v>
      </c>
      <c r="J20" s="251">
        <f>(J10/I10)-1</f>
        <v>8.5240256493033906E-2</v>
      </c>
      <c r="K20" s="251">
        <f>(K10/J10)-1</f>
        <v>7.7600135321943764E-2</v>
      </c>
      <c r="L20" s="251">
        <f>(L10/K10)-1</f>
        <v>-1.0809377148207955E-2</v>
      </c>
      <c r="M20" s="251">
        <f>(M10/L10)-1</f>
        <v>-3.5409028727770298E-2</v>
      </c>
      <c r="N20" s="251">
        <f>(N10/M10)-1</f>
        <v>1.0188394533665379E-2</v>
      </c>
      <c r="O20" s="251">
        <f>(O10/N10)-1</f>
        <v>5.8054190650006943E-2</v>
      </c>
      <c r="P20" s="251">
        <f>(P10/O10)-1</f>
        <v>7.3439730804137904E-2</v>
      </c>
      <c r="Q20" s="251">
        <f>(Q10/P10)-1</f>
        <v>-0.20092459826946862</v>
      </c>
      <c r="R20" s="251">
        <f>(R10/Q10)-1</f>
        <v>0.26728666629540943</v>
      </c>
      <c r="S20" s="251">
        <f>(S10/R10)-1</f>
        <v>0.24003222498901433</v>
      </c>
      <c r="T20" s="251">
        <f>(T10/S10)-1</f>
        <v>-0.10029885301865171</v>
      </c>
      <c r="U20" s="251">
        <f>(U10/T10)-1</f>
        <v>1.1636863342348702E-2</v>
      </c>
      <c r="V20" s="251">
        <f>(V10/U10)-1</f>
        <v>8.4193133174436774E-2</v>
      </c>
      <c r="W20" s="254">
        <f t="shared" si="5"/>
        <v>4.7914998258392738E-2</v>
      </c>
      <c r="X20" s="254">
        <f t="shared" si="4"/>
        <v>6.6054065716414756E-2</v>
      </c>
      <c r="Y20" s="254">
        <f t="shared" si="4"/>
        <v>5.6984531987403747E-2</v>
      </c>
      <c r="Z20" s="254">
        <f t="shared" si="4"/>
        <v>6.1519298851909252E-2</v>
      </c>
      <c r="AA20" s="254">
        <f t="shared" si="4"/>
        <v>5.9251915419656499E-2</v>
      </c>
    </row>
    <row r="21" spans="1:30" x14ac:dyDescent="0.25">
      <c r="B21" s="143"/>
    </row>
  </sheetData>
  <mergeCells count="5">
    <mergeCell ref="A1:A2"/>
    <mergeCell ref="W3:AA4"/>
    <mergeCell ref="W14:AA14"/>
    <mergeCell ref="B1:M4"/>
    <mergeCell ref="AB19:AD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8877-D66B-43C2-B8F1-0E3A28D1C3C8}">
  <dimension ref="A1:AA19"/>
  <sheetViews>
    <sheetView tabSelected="1" workbookViewId="0">
      <selection activeCell="N31" sqref="N31"/>
    </sheetView>
  </sheetViews>
  <sheetFormatPr baseColWidth="10" defaultRowHeight="15" x14ac:dyDescent="0.25"/>
  <cols>
    <col min="1" max="1" width="25" customWidth="1"/>
    <col min="2" max="2" width="12.5703125" bestFit="1" customWidth="1"/>
    <col min="22" max="25" width="13.140625" bestFit="1" customWidth="1"/>
    <col min="26" max="26" width="26.28515625" customWidth="1"/>
    <col min="27" max="27" width="13.140625" bestFit="1" customWidth="1"/>
  </cols>
  <sheetData>
    <row r="1" spans="1:27" x14ac:dyDescent="0.25">
      <c r="A1" s="225" t="s">
        <v>97</v>
      </c>
      <c r="B1" s="262"/>
      <c r="C1" s="262"/>
      <c r="D1" s="262"/>
      <c r="E1" s="226"/>
      <c r="F1" s="279" t="s">
        <v>92</v>
      </c>
      <c r="G1" s="223"/>
      <c r="H1" s="223"/>
      <c r="I1" s="223"/>
    </row>
    <row r="2" spans="1:27" ht="15.75" thickBot="1" x14ac:dyDescent="0.3">
      <c r="A2" s="227"/>
      <c r="B2" s="258"/>
      <c r="C2" s="258"/>
      <c r="D2" s="258"/>
      <c r="E2" s="228"/>
      <c r="F2" s="224"/>
      <c r="G2" s="276"/>
      <c r="H2" s="276"/>
      <c r="I2" s="276"/>
    </row>
    <row r="3" spans="1:27" ht="18.75" x14ac:dyDescent="0.25">
      <c r="A3" s="268" t="s">
        <v>87</v>
      </c>
      <c r="B3" s="266">
        <v>2005</v>
      </c>
      <c r="C3" s="157">
        <v>2006</v>
      </c>
      <c r="D3" s="157">
        <v>2007</v>
      </c>
      <c r="E3" s="157">
        <v>2008</v>
      </c>
      <c r="F3" s="157">
        <v>2009</v>
      </c>
      <c r="G3" s="157">
        <v>2010</v>
      </c>
      <c r="H3" s="157">
        <v>2011</v>
      </c>
      <c r="I3" s="157">
        <v>2012</v>
      </c>
      <c r="J3" s="157">
        <v>2013</v>
      </c>
      <c r="K3" s="266">
        <v>2014</v>
      </c>
      <c r="L3" s="157">
        <v>2015</v>
      </c>
      <c r="M3" s="157">
        <v>2016</v>
      </c>
      <c r="N3" s="157">
        <v>2017</v>
      </c>
      <c r="O3" s="157">
        <v>2018</v>
      </c>
      <c r="P3" s="157">
        <v>2019</v>
      </c>
      <c r="Q3" s="157">
        <v>2020</v>
      </c>
      <c r="R3" s="157">
        <v>2021</v>
      </c>
      <c r="S3" s="157">
        <v>2022</v>
      </c>
      <c r="T3" s="157">
        <v>2023</v>
      </c>
      <c r="U3" s="157">
        <v>2024</v>
      </c>
      <c r="V3" s="157">
        <v>2025</v>
      </c>
      <c r="W3" s="157">
        <v>2026</v>
      </c>
      <c r="X3" s="157">
        <v>2027</v>
      </c>
      <c r="Y3" s="157">
        <v>2028</v>
      </c>
      <c r="Z3" s="157">
        <v>2029</v>
      </c>
      <c r="AA3" s="157">
        <v>2030</v>
      </c>
    </row>
    <row r="4" spans="1:27" x14ac:dyDescent="0.25">
      <c r="A4" s="274" t="s">
        <v>89</v>
      </c>
      <c r="B4" s="270">
        <f>'PIB oferta anual'!B19</f>
        <v>517438</v>
      </c>
      <c r="C4" s="270">
        <f>'PIB oferta anual'!C19</f>
        <v>552139</v>
      </c>
      <c r="D4" s="270">
        <f>'PIB oferta anual'!D19</f>
        <v>588990</v>
      </c>
      <c r="E4" s="270">
        <f>'PIB oferta anual'!E19</f>
        <v>608384</v>
      </c>
      <c r="F4" s="270">
        <f>'PIB oferta anual'!F19</f>
        <v>614390</v>
      </c>
      <c r="G4" s="270">
        <f>'PIB oferta anual'!G19</f>
        <v>640461</v>
      </c>
      <c r="H4" s="270">
        <f>'PIB oferta anual'!H19</f>
        <v>683340</v>
      </c>
      <c r="I4" s="270">
        <f>'PIB oferta anual'!I19</f>
        <v>709685</v>
      </c>
      <c r="J4" s="270">
        <f>'PIB oferta anual'!J19</f>
        <v>745880</v>
      </c>
      <c r="K4" s="270">
        <f>'PIB oferta anual'!K19</f>
        <v>781017</v>
      </c>
      <c r="L4" s="270">
        <f>'PIB oferta anual'!L19</f>
        <v>804692</v>
      </c>
      <c r="M4" s="270">
        <f>'PIB oferta anual'!M19</f>
        <v>821489</v>
      </c>
      <c r="N4" s="270">
        <f>'PIB oferta anual'!N19</f>
        <v>831956</v>
      </c>
      <c r="O4" s="270">
        <f>'PIB oferta anual'!O19</f>
        <v>853167</v>
      </c>
      <c r="P4" s="270">
        <f>'PIB oferta anual'!P19</f>
        <v>880280</v>
      </c>
      <c r="Q4" s="270">
        <f>'PIB oferta anual'!Q19</f>
        <v>817375</v>
      </c>
      <c r="R4" s="270">
        <f>'PIB oferta anual'!R19</f>
        <v>905132</v>
      </c>
      <c r="S4" s="270">
        <f>'PIB oferta anual'!S19</f>
        <v>973165</v>
      </c>
      <c r="T4" s="270">
        <f>'PIB oferta anual'!T19</f>
        <v>982221</v>
      </c>
      <c r="U4" s="270">
        <f>'PIB oferta anual'!U19</f>
        <v>996471</v>
      </c>
      <c r="V4" s="270">
        <f>'PIB oferta anual'!V19</f>
        <v>1023465.1349187322</v>
      </c>
      <c r="W4" s="270">
        <f>'PIB oferta anual'!W19</f>
        <v>1045802.5597860662</v>
      </c>
      <c r="X4" s="270">
        <f>'PIB oferta anual'!X19</f>
        <v>1072462.9902129185</v>
      </c>
      <c r="Y4" s="270">
        <f>'PIB oferta anual'!Y19</f>
        <v>1098886.0177344962</v>
      </c>
      <c r="Z4" s="270">
        <f>'PIB oferta anual'!Z19</f>
        <v>1127514.6315809824</v>
      </c>
      <c r="AA4" s="270">
        <f>'PIB oferta anual'!AA19</f>
        <v>1157192.6819513717</v>
      </c>
    </row>
    <row r="5" spans="1:27" x14ac:dyDescent="0.25">
      <c r="A5" s="274" t="s">
        <v>90</v>
      </c>
      <c r="B5" s="271">
        <f>'PIB demanda anual'!B11</f>
        <v>515253</v>
      </c>
      <c r="C5" s="271">
        <f>'PIB demanda anual'!C11</f>
        <v>550290</v>
      </c>
      <c r="D5" s="271">
        <f>'PIB demanda anual'!D11</f>
        <v>587167</v>
      </c>
      <c r="E5" s="271">
        <f>'PIB demanda anual'!E11</f>
        <v>606628</v>
      </c>
      <c r="F5" s="271">
        <f>'PIB demanda anual'!F11</f>
        <v>614270</v>
      </c>
      <c r="G5" s="271">
        <f>'PIB demanda anual'!G11</f>
        <v>641639</v>
      </c>
      <c r="H5" s="271">
        <f>'PIB demanda anual'!H11</f>
        <v>684066</v>
      </c>
      <c r="I5" s="271">
        <f>'PIB demanda anual'!I11</f>
        <v>710814.99999999988</v>
      </c>
      <c r="J5" s="271">
        <f>'PIB demanda anual'!J11</f>
        <v>746962</v>
      </c>
      <c r="K5" s="271">
        <f>'PIB demanda anual'!K11</f>
        <v>780826</v>
      </c>
      <c r="L5" s="271">
        <f>'PIB demanda anual'!L11</f>
        <v>804692</v>
      </c>
      <c r="M5" s="271">
        <f>'PIB demanda anual'!M11</f>
        <v>821489</v>
      </c>
      <c r="N5" s="271">
        <f>'PIB demanda anual'!N11</f>
        <v>832672.99999999988</v>
      </c>
      <c r="O5" s="271">
        <f>'PIB demanda anual'!O11</f>
        <v>853678</v>
      </c>
      <c r="P5" s="271">
        <f>'PIB demanda anual'!P11</f>
        <v>880508</v>
      </c>
      <c r="Q5" s="271">
        <f>'PIB demanda anual'!Q11</f>
        <v>819354</v>
      </c>
      <c r="R5" s="271">
        <f>'PIB demanda anual'!R11</f>
        <v>908744</v>
      </c>
      <c r="S5" s="271">
        <f>'PIB demanda anual'!S11</f>
        <v>975512</v>
      </c>
      <c r="T5" s="271">
        <f>'PIB demanda anual'!T11</f>
        <v>979438</v>
      </c>
      <c r="U5" s="271">
        <f>'PIB demanda anual'!U11</f>
        <v>994448</v>
      </c>
      <c r="V5" s="271">
        <f>'PIB demanda anual'!V11</f>
        <v>1020004.9525913208</v>
      </c>
      <c r="W5" s="271">
        <f>'PIB demanda anual'!W11</f>
        <v>1040766.230067855</v>
      </c>
      <c r="X5" s="271">
        <f>'PIB demanda anual'!X11</f>
        <v>1067061.0040344009</v>
      </c>
      <c r="Y5" s="271">
        <f>'PIB demanda anual'!Y11</f>
        <v>1093313.4756365479</v>
      </c>
      <c r="Z5" s="271">
        <f>'PIB demanda anual'!Z11</f>
        <v>1119577.1311480175</v>
      </c>
      <c r="AA5" s="271">
        <f>'PIB demanda anual'!AA11</f>
        <v>1146787.3190315915</v>
      </c>
    </row>
    <row r="6" spans="1:27" x14ac:dyDescent="0.25">
      <c r="A6" s="274" t="s">
        <v>88</v>
      </c>
      <c r="B6" s="272">
        <f>ABS(B4-B5)</f>
        <v>2185</v>
      </c>
      <c r="C6" s="272">
        <f t="shared" ref="C6:AA6" si="0">ABS(C4-C5)</f>
        <v>1849</v>
      </c>
      <c r="D6" s="272">
        <f t="shared" si="0"/>
        <v>1823</v>
      </c>
      <c r="E6" s="272">
        <f t="shared" si="0"/>
        <v>1756</v>
      </c>
      <c r="F6" s="272">
        <f t="shared" si="0"/>
        <v>120</v>
      </c>
      <c r="G6" s="272">
        <f t="shared" si="0"/>
        <v>1178</v>
      </c>
      <c r="H6" s="272">
        <f t="shared" si="0"/>
        <v>726</v>
      </c>
      <c r="I6" s="272">
        <f t="shared" si="0"/>
        <v>1129.9999999998836</v>
      </c>
      <c r="J6" s="272">
        <f t="shared" si="0"/>
        <v>1082</v>
      </c>
      <c r="K6" s="272">
        <f t="shared" si="0"/>
        <v>191</v>
      </c>
      <c r="L6" s="272">
        <f t="shared" si="0"/>
        <v>0</v>
      </c>
      <c r="M6" s="272">
        <f t="shared" si="0"/>
        <v>0</v>
      </c>
      <c r="N6" s="272">
        <f t="shared" si="0"/>
        <v>716.99999999988358</v>
      </c>
      <c r="O6" s="272">
        <f t="shared" si="0"/>
        <v>511</v>
      </c>
      <c r="P6" s="272">
        <f t="shared" si="0"/>
        <v>228</v>
      </c>
      <c r="Q6" s="272">
        <f t="shared" si="0"/>
        <v>1979</v>
      </c>
      <c r="R6" s="272">
        <f t="shared" si="0"/>
        <v>3612</v>
      </c>
      <c r="S6" s="272">
        <f t="shared" si="0"/>
        <v>2347</v>
      </c>
      <c r="T6" s="272">
        <f t="shared" si="0"/>
        <v>2783</v>
      </c>
      <c r="U6" s="272">
        <f t="shared" si="0"/>
        <v>2023</v>
      </c>
      <c r="V6" s="272">
        <f t="shared" si="0"/>
        <v>3460.1823274113704</v>
      </c>
      <c r="W6" s="272">
        <f t="shared" si="0"/>
        <v>5036.3297182112001</v>
      </c>
      <c r="X6" s="272">
        <f t="shared" si="0"/>
        <v>5401.9861785175744</v>
      </c>
      <c r="Y6" s="272">
        <f t="shared" si="0"/>
        <v>5572.5420979482587</v>
      </c>
      <c r="Z6" s="272">
        <f t="shared" si="0"/>
        <v>7937.50043296488</v>
      </c>
      <c r="AA6" s="272">
        <f t="shared" si="0"/>
        <v>10405.362919780193</v>
      </c>
    </row>
    <row r="7" spans="1:27" x14ac:dyDescent="0.25">
      <c r="A7" s="274" t="s">
        <v>93</v>
      </c>
      <c r="B7" s="273">
        <f>B6/B4</f>
        <v>4.2227281336121433E-3</v>
      </c>
      <c r="C7" s="273">
        <f t="shared" ref="C7:AA7" si="1">C6/C4</f>
        <v>3.3487944158988952E-3</v>
      </c>
      <c r="D7" s="273">
        <f t="shared" si="1"/>
        <v>3.0951289495577176E-3</v>
      </c>
      <c r="E7" s="273">
        <f t="shared" si="1"/>
        <v>2.8863349463496739E-3</v>
      </c>
      <c r="F7" s="273">
        <f t="shared" si="1"/>
        <v>1.95315678966129E-4</v>
      </c>
      <c r="G7" s="273">
        <f t="shared" si="1"/>
        <v>1.8393001291257391E-3</v>
      </c>
      <c r="H7" s="273">
        <f t="shared" si="1"/>
        <v>1.0624286592325928E-3</v>
      </c>
      <c r="I7" s="273">
        <f t="shared" si="1"/>
        <v>1.592255719086473E-3</v>
      </c>
      <c r="J7" s="273">
        <f t="shared" si="1"/>
        <v>1.450635490963694E-3</v>
      </c>
      <c r="K7" s="273">
        <f t="shared" si="1"/>
        <v>2.4455293546747381E-4</v>
      </c>
      <c r="L7" s="273">
        <f t="shared" si="1"/>
        <v>0</v>
      </c>
      <c r="M7" s="273">
        <f t="shared" si="1"/>
        <v>0</v>
      </c>
      <c r="N7" s="273">
        <f t="shared" si="1"/>
        <v>8.6182442340686715E-4</v>
      </c>
      <c r="O7" s="273">
        <f t="shared" si="1"/>
        <v>5.9894487245756107E-4</v>
      </c>
      <c r="P7" s="273">
        <f t="shared" si="1"/>
        <v>2.5900849729631483E-4</v>
      </c>
      <c r="Q7" s="273">
        <f t="shared" si="1"/>
        <v>2.4211653157975225E-3</v>
      </c>
      <c r="R7" s="273">
        <f t="shared" si="1"/>
        <v>3.9905781698139058E-3</v>
      </c>
      <c r="S7" s="273">
        <f t="shared" si="1"/>
        <v>2.4117184650085033E-3</v>
      </c>
      <c r="T7" s="273">
        <f t="shared" si="1"/>
        <v>2.8333745664163158E-3</v>
      </c>
      <c r="U7" s="273">
        <f t="shared" si="1"/>
        <v>2.0301644503452686E-3</v>
      </c>
      <c r="V7" s="273">
        <f t="shared" si="1"/>
        <v>3.3808502208393493E-3</v>
      </c>
      <c r="W7" s="273">
        <f t="shared" si="1"/>
        <v>4.8157557763498426E-3</v>
      </c>
      <c r="X7" s="273">
        <f t="shared" si="1"/>
        <v>5.0369907659425211E-3</v>
      </c>
      <c r="Y7" s="273">
        <f t="shared" si="1"/>
        <v>5.071082903972895E-3</v>
      </c>
      <c r="Z7" s="273">
        <f t="shared" si="1"/>
        <v>7.0398203363756335E-3</v>
      </c>
      <c r="AA7" s="273">
        <f t="shared" si="1"/>
        <v>8.991901765429116E-3</v>
      </c>
    </row>
    <row r="8" spans="1:27" x14ac:dyDescent="0.25">
      <c r="A8" s="275" t="s">
        <v>94</v>
      </c>
      <c r="B8" s="273">
        <f>B6/B5</f>
        <v>4.2406351831042223E-3</v>
      </c>
      <c r="C8" s="273">
        <f t="shared" ref="C8:AA8" si="2">C6/C5</f>
        <v>3.3600465209253304E-3</v>
      </c>
      <c r="D8" s="273">
        <f t="shared" si="2"/>
        <v>3.104738515618214E-3</v>
      </c>
      <c r="E8" s="273">
        <f t="shared" si="2"/>
        <v>2.8946899912302101E-3</v>
      </c>
      <c r="F8" s="273">
        <f t="shared" si="2"/>
        <v>1.9535383463297899E-4</v>
      </c>
      <c r="G8" s="273">
        <f t="shared" si="2"/>
        <v>1.835923315135146E-3</v>
      </c>
      <c r="H8" s="273">
        <f t="shared" si="2"/>
        <v>1.0613011025251949E-3</v>
      </c>
      <c r="I8" s="273">
        <f t="shared" si="2"/>
        <v>1.5897244712054243E-3</v>
      </c>
      <c r="J8" s="273">
        <f t="shared" si="2"/>
        <v>1.4485341958493203E-3</v>
      </c>
      <c r="K8" s="273">
        <f t="shared" si="2"/>
        <v>2.4461275623506389E-4</v>
      </c>
      <c r="L8" s="273">
        <f t="shared" si="2"/>
        <v>0</v>
      </c>
      <c r="M8" s="273">
        <f t="shared" si="2"/>
        <v>0</v>
      </c>
      <c r="N8" s="273">
        <f t="shared" si="2"/>
        <v>8.6108232163152121E-4</v>
      </c>
      <c r="O8" s="273">
        <f t="shared" si="2"/>
        <v>5.9858635223116916E-4</v>
      </c>
      <c r="P8" s="273">
        <f t="shared" si="2"/>
        <v>2.5894142926583289E-4</v>
      </c>
      <c r="Q8" s="273">
        <f t="shared" si="2"/>
        <v>2.4153174330020966E-3</v>
      </c>
      <c r="R8" s="273">
        <f t="shared" si="2"/>
        <v>3.9747167519125302E-3</v>
      </c>
      <c r="S8" s="273">
        <f t="shared" si="2"/>
        <v>2.4059160727904938E-3</v>
      </c>
      <c r="T8" s="273">
        <f t="shared" si="2"/>
        <v>2.8414253888454401E-3</v>
      </c>
      <c r="U8" s="273">
        <f t="shared" si="2"/>
        <v>2.0342944025228066E-3</v>
      </c>
      <c r="V8" s="273">
        <f t="shared" si="2"/>
        <v>3.3923191437657072E-3</v>
      </c>
      <c r="W8" s="273">
        <f t="shared" si="2"/>
        <v>4.8390595051136945E-3</v>
      </c>
      <c r="X8" s="273">
        <f t="shared" si="2"/>
        <v>5.0624904837619014E-3</v>
      </c>
      <c r="Y8" s="273">
        <f t="shared" si="2"/>
        <v>5.0969298578377245E-3</v>
      </c>
      <c r="Z8" s="273">
        <f t="shared" si="2"/>
        <v>7.089730767210067E-3</v>
      </c>
      <c r="AA8" s="273">
        <f t="shared" si="2"/>
        <v>9.0734896934220009E-3</v>
      </c>
    </row>
    <row r="9" spans="1:27" ht="110.25" customHeight="1" thickBot="1" x14ac:dyDescent="0.3">
      <c r="Y9" s="278" t="s">
        <v>91</v>
      </c>
      <c r="Z9" s="278"/>
      <c r="AA9" s="278"/>
    </row>
    <row r="10" spans="1:27" x14ac:dyDescent="0.25">
      <c r="A10" s="225" t="s">
        <v>98</v>
      </c>
      <c r="B10" s="262"/>
      <c r="C10" s="262"/>
      <c r="D10" s="262"/>
      <c r="E10" s="226"/>
      <c r="F10" s="279" t="s">
        <v>92</v>
      </c>
      <c r="G10" s="223"/>
      <c r="H10" s="223"/>
      <c r="I10" s="223"/>
      <c r="Z10" s="280"/>
    </row>
    <row r="11" spans="1:27" ht="15.75" thickBot="1" x14ac:dyDescent="0.3">
      <c r="A11" s="227"/>
      <c r="B11" s="258"/>
      <c r="C11" s="258"/>
      <c r="D11" s="258"/>
      <c r="E11" s="228"/>
      <c r="F11" s="224"/>
      <c r="G11" s="276"/>
      <c r="H11" s="276"/>
      <c r="I11" s="276"/>
      <c r="Z11" s="280"/>
    </row>
    <row r="12" spans="1:27" ht="18.75" x14ac:dyDescent="0.25">
      <c r="A12" s="268" t="s">
        <v>87</v>
      </c>
      <c r="B12" s="266">
        <v>2005</v>
      </c>
      <c r="C12" s="157">
        <v>2006</v>
      </c>
      <c r="D12" s="157">
        <v>2007</v>
      </c>
      <c r="E12" s="157">
        <v>2008</v>
      </c>
      <c r="F12" s="157">
        <v>2009</v>
      </c>
      <c r="G12" s="157">
        <v>2010</v>
      </c>
      <c r="H12" s="157">
        <v>2011</v>
      </c>
      <c r="I12" s="157">
        <v>2012</v>
      </c>
      <c r="J12" s="157">
        <v>2013</v>
      </c>
      <c r="K12" s="266">
        <v>2014</v>
      </c>
      <c r="L12" s="157">
        <v>2015</v>
      </c>
      <c r="M12" s="157">
        <v>2016</v>
      </c>
      <c r="N12" s="157">
        <v>2017</v>
      </c>
      <c r="O12" s="157">
        <v>2018</v>
      </c>
      <c r="P12" s="157">
        <v>2019</v>
      </c>
      <c r="Q12" s="157">
        <v>2020</v>
      </c>
      <c r="R12" s="157">
        <v>2021</v>
      </c>
      <c r="S12" s="157">
        <v>2022</v>
      </c>
      <c r="T12" s="157">
        <v>2023</v>
      </c>
      <c r="U12" s="157">
        <v>2024</v>
      </c>
      <c r="V12" s="157">
        <v>2025</v>
      </c>
      <c r="W12" s="157">
        <v>2026</v>
      </c>
      <c r="X12" s="157">
        <v>2027</v>
      </c>
      <c r="Y12" s="157">
        <v>2028</v>
      </c>
      <c r="Z12" s="157">
        <v>2029</v>
      </c>
      <c r="AA12" s="157">
        <v>2030</v>
      </c>
    </row>
    <row r="13" spans="1:27" x14ac:dyDescent="0.25">
      <c r="A13" s="274" t="s">
        <v>89</v>
      </c>
      <c r="B13" s="288">
        <f>'escenario 2 oferta'!B19</f>
        <v>517438</v>
      </c>
      <c r="C13" s="288">
        <f>'escenario 2 oferta'!C19</f>
        <v>552139</v>
      </c>
      <c r="D13" s="288">
        <f>'escenario 2 oferta'!D19</f>
        <v>588990</v>
      </c>
      <c r="E13" s="288">
        <f>'escenario 2 oferta'!E19</f>
        <v>608384</v>
      </c>
      <c r="F13" s="288">
        <f>'escenario 2 oferta'!F19</f>
        <v>614390</v>
      </c>
      <c r="G13" s="288">
        <f>'escenario 2 oferta'!G19</f>
        <v>640461</v>
      </c>
      <c r="H13" s="288">
        <f>'escenario 2 oferta'!H19</f>
        <v>683340</v>
      </c>
      <c r="I13" s="288">
        <f>'escenario 2 oferta'!I19</f>
        <v>709685</v>
      </c>
      <c r="J13" s="288">
        <f>'escenario 2 oferta'!J19</f>
        <v>745880</v>
      </c>
      <c r="K13" s="288">
        <f>'escenario 2 oferta'!K19</f>
        <v>781017</v>
      </c>
      <c r="L13" s="288">
        <f>'escenario 2 oferta'!L19</f>
        <v>804692</v>
      </c>
      <c r="M13" s="288">
        <f>'escenario 2 oferta'!M19</f>
        <v>821489</v>
      </c>
      <c r="N13" s="288">
        <f>'escenario 2 oferta'!N19</f>
        <v>831956</v>
      </c>
      <c r="O13" s="288">
        <f>'escenario 2 oferta'!O19</f>
        <v>853167</v>
      </c>
      <c r="P13" s="288">
        <f>'escenario 2 oferta'!P19</f>
        <v>880280</v>
      </c>
      <c r="Q13" s="288">
        <f>'escenario 2 oferta'!Q19</f>
        <v>817375</v>
      </c>
      <c r="R13" s="288">
        <f>'escenario 2 oferta'!R19</f>
        <v>905132</v>
      </c>
      <c r="S13" s="288">
        <f>'escenario 2 oferta'!S19</f>
        <v>973165</v>
      </c>
      <c r="T13" s="288">
        <f>'escenario 2 oferta'!T19</f>
        <v>982221</v>
      </c>
      <c r="U13" s="288">
        <f>'escenario 2 oferta'!U19</f>
        <v>996471</v>
      </c>
      <c r="V13" s="288">
        <f>'escenario 2 oferta'!V19</f>
        <v>1023465.1349187322</v>
      </c>
      <c r="W13" s="288">
        <f>'escenario 2 oferta'!W19</f>
        <v>1051660.3338986011</v>
      </c>
      <c r="X13" s="288">
        <f>'escenario 2 oferta'!X19</f>
        <v>1081279.3181722199</v>
      </c>
      <c r="Y13" s="288">
        <f>'escenario 2 oferta'!Y19</f>
        <v>1112312.1376727435</v>
      </c>
      <c r="Z13" s="288">
        <f>'escenario 2 oferta'!Z19</f>
        <v>1144760.5775412833</v>
      </c>
      <c r="AA13" s="288">
        <f>'escenario 2 oferta'!AA19</f>
        <v>1178781.9438063467</v>
      </c>
    </row>
    <row r="14" spans="1:27" x14ac:dyDescent="0.25">
      <c r="A14" s="274" t="s">
        <v>90</v>
      </c>
      <c r="B14" s="192">
        <f>'escenario 2 gasto'!B11</f>
        <v>515253</v>
      </c>
      <c r="C14" s="192">
        <f>'escenario 2 gasto'!C11</f>
        <v>550290</v>
      </c>
      <c r="D14" s="192">
        <f>'escenario 2 gasto'!D11</f>
        <v>587167</v>
      </c>
      <c r="E14" s="192">
        <f>'escenario 2 gasto'!E11</f>
        <v>606628</v>
      </c>
      <c r="F14" s="192">
        <f>'escenario 2 gasto'!F11</f>
        <v>614270</v>
      </c>
      <c r="G14" s="192">
        <f>'escenario 2 gasto'!G11</f>
        <v>641639</v>
      </c>
      <c r="H14" s="192">
        <f>'escenario 2 gasto'!H11</f>
        <v>684066</v>
      </c>
      <c r="I14" s="192">
        <f>'escenario 2 gasto'!I11</f>
        <v>710814.99999999988</v>
      </c>
      <c r="J14" s="192">
        <f>'escenario 2 gasto'!J11</f>
        <v>746962</v>
      </c>
      <c r="K14" s="192">
        <f>'escenario 2 gasto'!K11</f>
        <v>780826</v>
      </c>
      <c r="L14" s="192">
        <f>'escenario 2 gasto'!L11</f>
        <v>804692</v>
      </c>
      <c r="M14" s="192">
        <f>'escenario 2 gasto'!M11</f>
        <v>821489</v>
      </c>
      <c r="N14" s="192">
        <f>'escenario 2 gasto'!N11</f>
        <v>832672.99999999988</v>
      </c>
      <c r="O14" s="192">
        <f>'escenario 2 gasto'!O11</f>
        <v>853678</v>
      </c>
      <c r="P14" s="192">
        <f>'escenario 2 gasto'!P11</f>
        <v>880508</v>
      </c>
      <c r="Q14" s="192">
        <f>'escenario 2 gasto'!Q11</f>
        <v>819354</v>
      </c>
      <c r="R14" s="192">
        <f>'escenario 2 gasto'!R11</f>
        <v>908744</v>
      </c>
      <c r="S14" s="192">
        <f>'escenario 2 gasto'!S11</f>
        <v>975512</v>
      </c>
      <c r="T14" s="192">
        <f>'escenario 2 gasto'!T11</f>
        <v>979438</v>
      </c>
      <c r="U14" s="192">
        <f>'escenario 2 gasto'!U11</f>
        <v>994448</v>
      </c>
      <c r="V14" s="192">
        <f>'escenario 2 gasto'!V11</f>
        <v>1020004.9525913208</v>
      </c>
      <c r="W14" s="192">
        <f>'escenario 2 gasto'!W11</f>
        <v>1046238.8853416697</v>
      </c>
      <c r="X14" s="192">
        <f>'escenario 2 gasto'!X11</f>
        <v>1075487.8070225813</v>
      </c>
      <c r="Y14" s="192">
        <f>'escenario 2 gasto'!Y11</f>
        <v>1106306.8839595169</v>
      </c>
      <c r="Z14" s="192">
        <f>'escenario 2 gasto'!Z11</f>
        <v>1136621.7844885294</v>
      </c>
      <c r="AA14" s="192">
        <f>'escenario 2 gasto'!AA11</f>
        <v>1168481.324689291</v>
      </c>
    </row>
    <row r="15" spans="1:27" x14ac:dyDescent="0.25">
      <c r="A15" s="289" t="s">
        <v>88</v>
      </c>
      <c r="B15" s="267">
        <f>ABS(B13-B14)</f>
        <v>2185</v>
      </c>
      <c r="C15" s="267">
        <f t="shared" ref="C15:AA15" si="3">ABS(C13-C14)</f>
        <v>1849</v>
      </c>
      <c r="D15" s="267">
        <f t="shared" si="3"/>
        <v>1823</v>
      </c>
      <c r="E15" s="267">
        <f t="shared" si="3"/>
        <v>1756</v>
      </c>
      <c r="F15" s="267">
        <f t="shared" si="3"/>
        <v>120</v>
      </c>
      <c r="G15" s="267">
        <f t="shared" si="3"/>
        <v>1178</v>
      </c>
      <c r="H15" s="267">
        <f t="shared" si="3"/>
        <v>726</v>
      </c>
      <c r="I15" s="267">
        <f t="shared" si="3"/>
        <v>1129.9999999998836</v>
      </c>
      <c r="J15" s="267">
        <f t="shared" si="3"/>
        <v>1082</v>
      </c>
      <c r="K15" s="267">
        <f t="shared" si="3"/>
        <v>191</v>
      </c>
      <c r="L15" s="267">
        <f t="shared" si="3"/>
        <v>0</v>
      </c>
      <c r="M15" s="267">
        <f t="shared" si="3"/>
        <v>0</v>
      </c>
      <c r="N15" s="267">
        <f t="shared" si="3"/>
        <v>716.99999999988358</v>
      </c>
      <c r="O15" s="267">
        <f t="shared" si="3"/>
        <v>511</v>
      </c>
      <c r="P15" s="267">
        <f t="shared" si="3"/>
        <v>228</v>
      </c>
      <c r="Q15" s="267">
        <f t="shared" si="3"/>
        <v>1979</v>
      </c>
      <c r="R15" s="267">
        <f t="shared" si="3"/>
        <v>3612</v>
      </c>
      <c r="S15" s="267">
        <f t="shared" si="3"/>
        <v>2347</v>
      </c>
      <c r="T15" s="267">
        <f t="shared" si="3"/>
        <v>2783</v>
      </c>
      <c r="U15" s="267">
        <f t="shared" si="3"/>
        <v>2023</v>
      </c>
      <c r="V15" s="267">
        <f t="shared" si="3"/>
        <v>3460.1823274113704</v>
      </c>
      <c r="W15" s="267">
        <f t="shared" si="3"/>
        <v>5421.4485569314566</v>
      </c>
      <c r="X15" s="267">
        <f t="shared" si="3"/>
        <v>5791.5111496385653</v>
      </c>
      <c r="Y15" s="267">
        <f t="shared" si="3"/>
        <v>6005.2537132266443</v>
      </c>
      <c r="Z15" s="267">
        <f t="shared" si="3"/>
        <v>8138.7930527538992</v>
      </c>
      <c r="AA15" s="267">
        <f t="shared" si="3"/>
        <v>10300.619117055787</v>
      </c>
    </row>
    <row r="16" spans="1:27" x14ac:dyDescent="0.25">
      <c r="A16" s="274" t="s">
        <v>93</v>
      </c>
      <c r="B16" s="269">
        <f>B15/B13</f>
        <v>4.2227281336121433E-3</v>
      </c>
      <c r="C16" s="269">
        <f t="shared" ref="C16:AA16" si="4">C15/C13</f>
        <v>3.3487944158988952E-3</v>
      </c>
      <c r="D16" s="269">
        <f t="shared" si="4"/>
        <v>3.0951289495577176E-3</v>
      </c>
      <c r="E16" s="269">
        <f t="shared" si="4"/>
        <v>2.8863349463496739E-3</v>
      </c>
      <c r="F16" s="269">
        <f t="shared" si="4"/>
        <v>1.95315678966129E-4</v>
      </c>
      <c r="G16" s="269">
        <f t="shared" si="4"/>
        <v>1.8393001291257391E-3</v>
      </c>
      <c r="H16" s="269">
        <f t="shared" si="4"/>
        <v>1.0624286592325928E-3</v>
      </c>
      <c r="I16" s="269">
        <f t="shared" si="4"/>
        <v>1.592255719086473E-3</v>
      </c>
      <c r="J16" s="269">
        <f t="shared" si="4"/>
        <v>1.450635490963694E-3</v>
      </c>
      <c r="K16" s="269">
        <f t="shared" si="4"/>
        <v>2.4455293546747381E-4</v>
      </c>
      <c r="L16" s="269">
        <f t="shared" si="4"/>
        <v>0</v>
      </c>
      <c r="M16" s="269">
        <f t="shared" si="4"/>
        <v>0</v>
      </c>
      <c r="N16" s="269">
        <f t="shared" si="4"/>
        <v>8.6182442340686715E-4</v>
      </c>
      <c r="O16" s="269">
        <f t="shared" si="4"/>
        <v>5.9894487245756107E-4</v>
      </c>
      <c r="P16" s="269">
        <f t="shared" si="4"/>
        <v>2.5900849729631483E-4</v>
      </c>
      <c r="Q16" s="269">
        <f t="shared" si="4"/>
        <v>2.4211653157975225E-3</v>
      </c>
      <c r="R16" s="269">
        <f t="shared" si="4"/>
        <v>3.9905781698139058E-3</v>
      </c>
      <c r="S16" s="269">
        <f t="shared" si="4"/>
        <v>2.4117184650085033E-3</v>
      </c>
      <c r="T16" s="269">
        <f t="shared" si="4"/>
        <v>2.8333745664163158E-3</v>
      </c>
      <c r="U16" s="269">
        <f t="shared" si="4"/>
        <v>2.0301644503452686E-3</v>
      </c>
      <c r="V16" s="269">
        <f t="shared" si="4"/>
        <v>3.3808502208393493E-3</v>
      </c>
      <c r="W16" s="269">
        <f t="shared" si="4"/>
        <v>5.1551326813227332E-3</v>
      </c>
      <c r="X16" s="269">
        <f t="shared" si="4"/>
        <v>5.3561656570186309E-3</v>
      </c>
      <c r="Y16" s="269">
        <f t="shared" si="4"/>
        <v>5.3988925498837511E-3</v>
      </c>
      <c r="Z16" s="269">
        <f t="shared" si="4"/>
        <v>7.1096028396037169E-3</v>
      </c>
      <c r="AA16" s="269">
        <f t="shared" si="4"/>
        <v>8.7383584141054668E-3</v>
      </c>
    </row>
    <row r="17" spans="1:27" x14ac:dyDescent="0.25">
      <c r="A17" s="275" t="s">
        <v>94</v>
      </c>
      <c r="B17" s="269">
        <f>B15/B14</f>
        <v>4.2406351831042223E-3</v>
      </c>
      <c r="C17" s="269">
        <f t="shared" ref="C17:AA17" si="5">C15/C14</f>
        <v>3.3600465209253304E-3</v>
      </c>
      <c r="D17" s="269">
        <f t="shared" si="5"/>
        <v>3.104738515618214E-3</v>
      </c>
      <c r="E17" s="269">
        <f t="shared" si="5"/>
        <v>2.8946899912302101E-3</v>
      </c>
      <c r="F17" s="269">
        <f t="shared" si="5"/>
        <v>1.9535383463297899E-4</v>
      </c>
      <c r="G17" s="269">
        <f t="shared" si="5"/>
        <v>1.835923315135146E-3</v>
      </c>
      <c r="H17" s="269">
        <f t="shared" si="5"/>
        <v>1.0613011025251949E-3</v>
      </c>
      <c r="I17" s="269">
        <f t="shared" si="5"/>
        <v>1.5897244712054243E-3</v>
      </c>
      <c r="J17" s="269">
        <f t="shared" si="5"/>
        <v>1.4485341958493203E-3</v>
      </c>
      <c r="K17" s="269">
        <f t="shared" si="5"/>
        <v>2.4461275623506389E-4</v>
      </c>
      <c r="L17" s="269">
        <f t="shared" si="5"/>
        <v>0</v>
      </c>
      <c r="M17" s="269">
        <f t="shared" si="5"/>
        <v>0</v>
      </c>
      <c r="N17" s="269">
        <f t="shared" si="5"/>
        <v>8.6108232163152121E-4</v>
      </c>
      <c r="O17" s="269">
        <f t="shared" si="5"/>
        <v>5.9858635223116916E-4</v>
      </c>
      <c r="P17" s="269">
        <f t="shared" si="5"/>
        <v>2.5894142926583289E-4</v>
      </c>
      <c r="Q17" s="269">
        <f t="shared" si="5"/>
        <v>2.4153174330020966E-3</v>
      </c>
      <c r="R17" s="269">
        <f t="shared" si="5"/>
        <v>3.9747167519125302E-3</v>
      </c>
      <c r="S17" s="269">
        <f t="shared" si="5"/>
        <v>2.4059160727904938E-3</v>
      </c>
      <c r="T17" s="269">
        <f t="shared" si="5"/>
        <v>2.8414253888454401E-3</v>
      </c>
      <c r="U17" s="269">
        <f t="shared" si="5"/>
        <v>2.0342944025228066E-3</v>
      </c>
      <c r="V17" s="269">
        <f t="shared" si="5"/>
        <v>3.3923191437657072E-3</v>
      </c>
      <c r="W17" s="269">
        <f t="shared" si="5"/>
        <v>5.1818457838727497E-3</v>
      </c>
      <c r="X17" s="269">
        <f t="shared" si="5"/>
        <v>5.3850086554416551E-3</v>
      </c>
      <c r="Y17" s="269">
        <f t="shared" si="5"/>
        <v>5.4281988120091955E-3</v>
      </c>
      <c r="Z17" s="269">
        <f t="shared" si="5"/>
        <v>7.1605112305816749E-3</v>
      </c>
      <c r="AA17" s="269">
        <f t="shared" si="5"/>
        <v>8.815390455465609E-3</v>
      </c>
    </row>
    <row r="18" spans="1:27" x14ac:dyDescent="0.25">
      <c r="W18" s="290" t="s">
        <v>99</v>
      </c>
      <c r="X18" s="290"/>
      <c r="Y18" s="290"/>
      <c r="Z18" s="290"/>
      <c r="AA18" s="290"/>
    </row>
    <row r="19" spans="1:27" x14ac:dyDescent="0.25">
      <c r="W19" s="290"/>
      <c r="X19" s="290"/>
      <c r="Y19" s="290"/>
      <c r="Z19" s="290"/>
      <c r="AA19" s="290"/>
    </row>
  </sheetData>
  <mergeCells count="6">
    <mergeCell ref="A10:E11"/>
    <mergeCell ref="F10:I11"/>
    <mergeCell ref="W18:AA19"/>
    <mergeCell ref="A1:E2"/>
    <mergeCell ref="F1:I2"/>
    <mergeCell ref="Y9:AA9"/>
  </mergeCells>
  <conditionalFormatting sqref="B7:AA7">
    <cfRule type="cellIs" dxfId="14" priority="8" operator="lessThan">
      <formula>0.01</formula>
    </cfRule>
    <cfRule type="cellIs" dxfId="13" priority="9" operator="greaterThan">
      <formula>0.01</formula>
    </cfRule>
  </conditionalFormatting>
  <conditionalFormatting sqref="B8:AA8">
    <cfRule type="cellIs" dxfId="12" priority="6" operator="lessThan">
      <formula>0.01</formula>
    </cfRule>
    <cfRule type="cellIs" dxfId="11" priority="7" operator="greaterThan">
      <formula>0.01</formula>
    </cfRule>
  </conditionalFormatting>
  <conditionalFormatting sqref="B16:AA16">
    <cfRule type="cellIs" dxfId="10" priority="5" operator="greaterThan">
      <formula>0.01</formula>
    </cfRule>
    <cfRule type="cellIs" dxfId="9" priority="2" operator="lessThan">
      <formula>0.01</formula>
    </cfRule>
  </conditionalFormatting>
  <conditionalFormatting sqref="B17:AA17">
    <cfRule type="cellIs" dxfId="0" priority="3" operator="greaterThan">
      <formula>0.01</formula>
    </cfRule>
    <cfRule type="cellIs" dxfId="1" priority="1" operator="lessThan">
      <formula>0.01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28"/>
  <sheetViews>
    <sheetView showGridLines="0" topLeftCell="BL1" zoomScaleNormal="100" workbookViewId="0">
      <selection activeCell="A18" sqref="A18:XFD18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175"/>
      <c r="B1" s="175"/>
      <c r="C1" s="175"/>
      <c r="D1" s="175"/>
      <c r="E1" s="175"/>
      <c r="F1" s="175"/>
      <c r="G1" s="175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168" t="s">
        <v>0</v>
      </c>
      <c r="B3" s="168"/>
      <c r="C3" s="168"/>
      <c r="D3" s="168"/>
      <c r="E3" s="168"/>
      <c r="F3" s="168"/>
      <c r="G3" s="168"/>
    </row>
    <row r="4" spans="1:86" s="4" customFormat="1" ht="14.25" customHeight="1" x14ac:dyDescent="0.35">
      <c r="A4" s="168"/>
      <c r="B4" s="168"/>
      <c r="C4" s="168"/>
      <c r="D4" s="168"/>
      <c r="E4" s="168"/>
      <c r="F4" s="168"/>
      <c r="G4" s="168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172" t="s">
        <v>8</v>
      </c>
      <c r="B10" s="170" t="s">
        <v>10</v>
      </c>
      <c r="C10" s="170">
        <v>2005</v>
      </c>
      <c r="D10" s="170"/>
      <c r="E10" s="170"/>
      <c r="F10" s="170"/>
      <c r="G10" s="170">
        <v>2006</v>
      </c>
      <c r="H10" s="170"/>
      <c r="I10" s="170"/>
      <c r="J10" s="170"/>
      <c r="K10" s="170">
        <v>2007</v>
      </c>
      <c r="L10" s="170"/>
      <c r="M10" s="170"/>
      <c r="N10" s="170"/>
      <c r="O10" s="170">
        <v>2008</v>
      </c>
      <c r="P10" s="170"/>
      <c r="Q10" s="170"/>
      <c r="R10" s="170"/>
      <c r="S10" s="170">
        <v>2009</v>
      </c>
      <c r="T10" s="170"/>
      <c r="U10" s="170"/>
      <c r="V10" s="170"/>
      <c r="W10" s="170">
        <v>2010</v>
      </c>
      <c r="X10" s="170"/>
      <c r="Y10" s="170"/>
      <c r="Z10" s="170"/>
      <c r="AA10" s="170">
        <v>2011</v>
      </c>
      <c r="AB10" s="170"/>
      <c r="AC10" s="170"/>
      <c r="AD10" s="170"/>
      <c r="AE10" s="170">
        <v>2012</v>
      </c>
      <c r="AF10" s="170"/>
      <c r="AG10" s="170"/>
      <c r="AH10" s="170"/>
      <c r="AI10" s="170">
        <v>2013</v>
      </c>
      <c r="AJ10" s="170"/>
      <c r="AK10" s="170"/>
      <c r="AL10" s="170"/>
      <c r="AM10" s="170">
        <v>2014</v>
      </c>
      <c r="AN10" s="170"/>
      <c r="AO10" s="170"/>
      <c r="AP10" s="170"/>
      <c r="AQ10" s="170">
        <v>2015</v>
      </c>
      <c r="AR10" s="170"/>
      <c r="AS10" s="170"/>
      <c r="AT10" s="170"/>
      <c r="AU10" s="170">
        <v>2016</v>
      </c>
      <c r="AV10" s="170"/>
      <c r="AW10" s="170"/>
      <c r="AX10" s="170"/>
      <c r="AY10" s="170">
        <v>2017</v>
      </c>
      <c r="AZ10" s="170"/>
      <c r="BA10" s="170"/>
      <c r="BB10" s="170"/>
      <c r="BC10" s="170">
        <v>2018</v>
      </c>
      <c r="BD10" s="170"/>
      <c r="BE10" s="170"/>
      <c r="BF10" s="170"/>
      <c r="BG10" s="170">
        <v>2019</v>
      </c>
      <c r="BH10" s="170"/>
      <c r="BI10" s="170"/>
      <c r="BJ10" s="170"/>
      <c r="BK10" s="170">
        <v>2020</v>
      </c>
      <c r="BL10" s="170"/>
      <c r="BM10" s="170"/>
      <c r="BN10" s="170"/>
      <c r="BO10" s="170">
        <v>2021</v>
      </c>
      <c r="BP10" s="170"/>
      <c r="BQ10" s="170"/>
      <c r="BR10" s="170"/>
      <c r="BS10" s="170">
        <v>2022</v>
      </c>
      <c r="BT10" s="170"/>
      <c r="BU10" s="170"/>
      <c r="BV10" s="170"/>
      <c r="BW10" s="170">
        <v>2023</v>
      </c>
      <c r="BX10" s="170"/>
      <c r="BY10" s="170"/>
      <c r="BZ10" s="170"/>
      <c r="CA10" s="170" t="s">
        <v>12</v>
      </c>
      <c r="CB10" s="170"/>
      <c r="CC10" s="170"/>
      <c r="CD10" s="170"/>
      <c r="CE10" s="170" t="s">
        <v>13</v>
      </c>
      <c r="CF10" s="170"/>
      <c r="CG10" s="170"/>
      <c r="CH10" s="171"/>
    </row>
    <row r="11" spans="1:86" s="13" customFormat="1" ht="12" customHeight="1" x14ac:dyDescent="0.25">
      <c r="A11" s="173"/>
      <c r="B11" s="174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4.25" x14ac:dyDescent="0.2">
      <c r="A13" s="96" t="s">
        <v>60</v>
      </c>
      <c r="B13" s="97" t="s">
        <v>61</v>
      </c>
      <c r="C13" s="98">
        <v>82036.687865895467</v>
      </c>
      <c r="D13" s="98">
        <v>84948.292196401642</v>
      </c>
      <c r="E13" s="98">
        <v>86762.233843981245</v>
      </c>
      <c r="F13" s="98">
        <v>94993.786093721617</v>
      </c>
      <c r="G13" s="98">
        <v>86994.133924182999</v>
      </c>
      <c r="H13" s="98">
        <v>90321.976792213114</v>
      </c>
      <c r="I13" s="98">
        <v>92815.415284349263</v>
      </c>
      <c r="J13" s="98">
        <v>100821.47399925461</v>
      </c>
      <c r="K13" s="98">
        <v>92916.647884914986</v>
      </c>
      <c r="L13" s="98">
        <v>95726.89120837528</v>
      </c>
      <c r="M13" s="98">
        <v>99222.678602041502</v>
      </c>
      <c r="N13" s="98">
        <v>107394.78230466826</v>
      </c>
      <c r="O13" s="98">
        <v>97989.473461008412</v>
      </c>
      <c r="P13" s="98">
        <v>99424.300529794738</v>
      </c>
      <c r="Q13" s="98">
        <v>102764.6741710925</v>
      </c>
      <c r="R13" s="98">
        <v>111347.55183810437</v>
      </c>
      <c r="S13" s="98">
        <v>100026.39473328262</v>
      </c>
      <c r="T13" s="98">
        <v>101870.58154535729</v>
      </c>
      <c r="U13" s="98">
        <v>104015.2237942481</v>
      </c>
      <c r="V13" s="98">
        <v>112643.79992711202</v>
      </c>
      <c r="W13" s="98">
        <v>103799.36101174941</v>
      </c>
      <c r="X13" s="98">
        <v>106508.91110748393</v>
      </c>
      <c r="Y13" s="98">
        <v>109969.21070739742</v>
      </c>
      <c r="Z13" s="98">
        <v>119426.51717336928</v>
      </c>
      <c r="AA13" s="98">
        <v>108556.09634138168</v>
      </c>
      <c r="AB13" s="98">
        <v>113235.77853550982</v>
      </c>
      <c r="AC13" s="98">
        <v>115730.80284644966</v>
      </c>
      <c r="AD13" s="98">
        <v>126368.32227665886</v>
      </c>
      <c r="AE13" s="98">
        <v>116518.98021713775</v>
      </c>
      <c r="AF13" s="98">
        <v>119286.48355207173</v>
      </c>
      <c r="AG13" s="98">
        <v>122173.0814655494</v>
      </c>
      <c r="AH13" s="98">
        <v>132047.45476524104</v>
      </c>
      <c r="AI13" s="98">
        <v>121787.03750105909</v>
      </c>
      <c r="AJ13" s="98">
        <v>125697.13081553468</v>
      </c>
      <c r="AK13" s="98">
        <v>127427.93661778209</v>
      </c>
      <c r="AL13" s="98">
        <v>137786.89506562409</v>
      </c>
      <c r="AM13" s="98">
        <v>126810.99338769905</v>
      </c>
      <c r="AN13" s="98">
        <v>130399.77276805867</v>
      </c>
      <c r="AO13" s="98">
        <v>132771.01087259408</v>
      </c>
      <c r="AP13" s="98">
        <v>144502.22297164815</v>
      </c>
      <c r="AQ13" s="98">
        <v>131345.74055103556</v>
      </c>
      <c r="AR13" s="98">
        <v>134566.0964266184</v>
      </c>
      <c r="AS13" s="98">
        <v>137911.62403192217</v>
      </c>
      <c r="AT13" s="98">
        <v>147189.53899042387</v>
      </c>
      <c r="AU13" s="98">
        <v>134710.34129725027</v>
      </c>
      <c r="AV13" s="98">
        <v>136275.33029513847</v>
      </c>
      <c r="AW13" s="98">
        <v>138980.60724877872</v>
      </c>
      <c r="AX13" s="98">
        <v>149772.72115883257</v>
      </c>
      <c r="AY13" s="98">
        <v>135913.58178816328</v>
      </c>
      <c r="AZ13" s="98">
        <v>139850.76619676329</v>
      </c>
      <c r="BA13" s="98">
        <v>142791.44426144281</v>
      </c>
      <c r="BB13" s="98">
        <v>152679.20775363056</v>
      </c>
      <c r="BC13" s="98">
        <v>140483.36048469017</v>
      </c>
      <c r="BD13" s="98">
        <v>144733.83413655392</v>
      </c>
      <c r="BE13" s="98">
        <v>147349.3058594639</v>
      </c>
      <c r="BF13" s="98">
        <v>157156.49951929206</v>
      </c>
      <c r="BG13" s="98">
        <v>144587.35758870665</v>
      </c>
      <c r="BH13" s="98">
        <v>149984.35806213121</v>
      </c>
      <c r="BI13" s="98">
        <v>153725.83839790005</v>
      </c>
      <c r="BJ13" s="98">
        <v>165430.44595126208</v>
      </c>
      <c r="BK13" s="98">
        <v>151599.83771890326</v>
      </c>
      <c r="BL13" s="98">
        <v>124339.01202645297</v>
      </c>
      <c r="BM13" s="98">
        <v>140331.20635011749</v>
      </c>
      <c r="BN13" s="98">
        <v>166726.9439045263</v>
      </c>
      <c r="BO13" s="98">
        <v>154416.79812977565</v>
      </c>
      <c r="BP13" s="98">
        <v>155973.10683417559</v>
      </c>
      <c r="BQ13" s="98">
        <v>168170.24183364765</v>
      </c>
      <c r="BR13" s="98">
        <v>190277.85320240114</v>
      </c>
      <c r="BS13" s="98">
        <v>173355.59818893546</v>
      </c>
      <c r="BT13" s="98">
        <v>181882.0299174086</v>
      </c>
      <c r="BU13" s="98">
        <v>186525.82067623144</v>
      </c>
      <c r="BV13" s="98">
        <v>199240.55121742448</v>
      </c>
      <c r="BW13" s="98">
        <v>178431.02450973913</v>
      </c>
      <c r="BX13" s="98">
        <v>183252.66842951591</v>
      </c>
      <c r="BY13" s="98">
        <v>185662.95820780791</v>
      </c>
      <c r="BZ13" s="98">
        <v>197460.34885293708</v>
      </c>
      <c r="CA13" s="98">
        <v>179189.62729067379</v>
      </c>
      <c r="CB13" s="98">
        <v>185291.25956228067</v>
      </c>
      <c r="CC13" s="98">
        <v>189261.59098109842</v>
      </c>
      <c r="CD13" s="98">
        <v>203280.52216594707</v>
      </c>
      <c r="CE13" s="98">
        <v>185961.23478882859</v>
      </c>
      <c r="CF13" s="98">
        <v>192014.70140814749</v>
      </c>
      <c r="CG13" s="98">
        <v>196975.68384216112</v>
      </c>
      <c r="CH13" s="99">
        <v>209564.53419000737</v>
      </c>
    </row>
    <row r="14" spans="1:86" x14ac:dyDescent="0.2">
      <c r="A14" s="100" t="s">
        <v>62</v>
      </c>
      <c r="B14" s="101" t="s">
        <v>63</v>
      </c>
      <c r="C14" s="102">
        <v>14794.445947659111</v>
      </c>
      <c r="D14" s="102">
        <v>15480.99275762658</v>
      </c>
      <c r="E14" s="102">
        <v>15874.024848814115</v>
      </c>
      <c r="F14" s="102">
        <v>24225.53644590019</v>
      </c>
      <c r="G14" s="102">
        <v>15466.853227954996</v>
      </c>
      <c r="H14" s="102">
        <v>15749.043812571314</v>
      </c>
      <c r="I14" s="102">
        <v>16695.886790595025</v>
      </c>
      <c r="J14" s="102">
        <v>26132.216168878665</v>
      </c>
      <c r="K14" s="102">
        <v>15579.350297641569</v>
      </c>
      <c r="L14" s="102">
        <v>16128.584155104834</v>
      </c>
      <c r="M14" s="102">
        <v>17750.038614733861</v>
      </c>
      <c r="N14" s="102">
        <v>27969.026932519741</v>
      </c>
      <c r="O14" s="102">
        <v>16500.732137406052</v>
      </c>
      <c r="P14" s="102">
        <v>17630.863108373589</v>
      </c>
      <c r="Q14" s="102">
        <v>18252.409777687135</v>
      </c>
      <c r="R14" s="102">
        <v>28679.994976533228</v>
      </c>
      <c r="S14" s="102">
        <v>17189.97671713751</v>
      </c>
      <c r="T14" s="102">
        <v>18204.911464918936</v>
      </c>
      <c r="U14" s="102">
        <v>19363.433150173714</v>
      </c>
      <c r="V14" s="102">
        <v>30166.67866776984</v>
      </c>
      <c r="W14" s="102">
        <v>18048.824123722155</v>
      </c>
      <c r="X14" s="102">
        <v>19218.287168085059</v>
      </c>
      <c r="Y14" s="102">
        <v>20171.205781209195</v>
      </c>
      <c r="Z14" s="102">
        <v>31924.682926983583</v>
      </c>
      <c r="AA14" s="102">
        <v>18936.726635011608</v>
      </c>
      <c r="AB14" s="102">
        <v>20583.608066798282</v>
      </c>
      <c r="AC14" s="102">
        <v>21569.322124384606</v>
      </c>
      <c r="AD14" s="102">
        <v>34061.343173805515</v>
      </c>
      <c r="AE14" s="102">
        <v>19737.409138698913</v>
      </c>
      <c r="AF14" s="102">
        <v>21432.211168560196</v>
      </c>
      <c r="AG14" s="102">
        <v>22341.317636376163</v>
      </c>
      <c r="AH14" s="102">
        <v>36214.062056364732</v>
      </c>
      <c r="AI14" s="102">
        <v>21042.749682923804</v>
      </c>
      <c r="AJ14" s="102">
        <v>23358.57183028154</v>
      </c>
      <c r="AK14" s="102">
        <v>24528.876757934202</v>
      </c>
      <c r="AL14" s="102">
        <v>39665.801728860468</v>
      </c>
      <c r="AM14" s="102">
        <v>22883.844550891805</v>
      </c>
      <c r="AN14" s="102">
        <v>24577.397360006715</v>
      </c>
      <c r="AO14" s="102">
        <v>25455.193749865084</v>
      </c>
      <c r="AP14" s="102">
        <v>40757.564339236393</v>
      </c>
      <c r="AQ14" s="102">
        <v>24375.408819373883</v>
      </c>
      <c r="AR14" s="102">
        <v>27145.200185349586</v>
      </c>
      <c r="AS14" s="102">
        <v>28814.184010163935</v>
      </c>
      <c r="AT14" s="102">
        <v>38853.206985112593</v>
      </c>
      <c r="AU14" s="102">
        <v>23853.737569024051</v>
      </c>
      <c r="AV14" s="102">
        <v>27820.673109328105</v>
      </c>
      <c r="AW14" s="102">
        <v>27958.724279905706</v>
      </c>
      <c r="AX14" s="102">
        <v>41728.865041742145</v>
      </c>
      <c r="AY14" s="102">
        <v>24437.117983704258</v>
      </c>
      <c r="AZ14" s="102">
        <v>28729.999756670881</v>
      </c>
      <c r="BA14" s="102">
        <v>29095.947366507073</v>
      </c>
      <c r="BB14" s="102">
        <v>43519.934893117803</v>
      </c>
      <c r="BC14" s="102">
        <v>25738.385342458958</v>
      </c>
      <c r="BD14" s="102">
        <v>30991.207737382469</v>
      </c>
      <c r="BE14" s="102">
        <v>31447.169785201451</v>
      </c>
      <c r="BF14" s="102">
        <v>46853.237134957126</v>
      </c>
      <c r="BG14" s="102">
        <v>27196.719990644346</v>
      </c>
      <c r="BH14" s="102">
        <v>33111.356680835146</v>
      </c>
      <c r="BI14" s="102">
        <v>33220.084643331684</v>
      </c>
      <c r="BJ14" s="102">
        <v>48623.838685188806</v>
      </c>
      <c r="BK14" s="102">
        <v>26866.682602773111</v>
      </c>
      <c r="BL14" s="102">
        <v>32677.635611963633</v>
      </c>
      <c r="BM14" s="102">
        <v>32667.171677173763</v>
      </c>
      <c r="BN14" s="102">
        <v>48859.510108089489</v>
      </c>
      <c r="BO14" s="102">
        <v>30023.147273203598</v>
      </c>
      <c r="BP14" s="102">
        <v>35584.195995265058</v>
      </c>
      <c r="BQ14" s="102">
        <v>37034.309777496812</v>
      </c>
      <c r="BR14" s="102">
        <v>52280.346954034532</v>
      </c>
      <c r="BS14" s="102">
        <v>32405.161330817147</v>
      </c>
      <c r="BT14" s="102">
        <v>39061.83558208304</v>
      </c>
      <c r="BU14" s="102">
        <v>36216.020926993733</v>
      </c>
      <c r="BV14" s="102">
        <v>48768.982160106068</v>
      </c>
      <c r="BW14" s="102">
        <v>31239.049766119704</v>
      </c>
      <c r="BX14" s="102">
        <v>38779.957709775983</v>
      </c>
      <c r="BY14" s="102">
        <v>37519.9655775957</v>
      </c>
      <c r="BZ14" s="102">
        <v>51339.026946508602</v>
      </c>
      <c r="CA14" s="102">
        <v>30609.063938288902</v>
      </c>
      <c r="CB14" s="102">
        <v>39851.133789781983</v>
      </c>
      <c r="CC14" s="102">
        <v>35380.284154827328</v>
      </c>
      <c r="CD14" s="102">
        <v>53970.518117101768</v>
      </c>
      <c r="CE14" s="102">
        <v>31764.184477619612</v>
      </c>
      <c r="CF14" s="102">
        <v>41583.139687280476</v>
      </c>
      <c r="CG14" s="102">
        <v>40698.212097146738</v>
      </c>
      <c r="CH14" s="103">
        <v>57180.694688862866</v>
      </c>
    </row>
    <row r="15" spans="1:86" s="38" customFormat="1" x14ac:dyDescent="0.2">
      <c r="A15" s="104" t="s">
        <v>64</v>
      </c>
      <c r="B15" s="105" t="s">
        <v>65</v>
      </c>
      <c r="C15" s="90">
        <v>18548.464471810788</v>
      </c>
      <c r="D15" s="90">
        <v>23912.501721127886</v>
      </c>
      <c r="E15" s="90">
        <v>21772.334207400105</v>
      </c>
      <c r="F15" s="90">
        <v>22486.699599661228</v>
      </c>
      <c r="G15" s="90">
        <v>22240.983611978259</v>
      </c>
      <c r="H15" s="90">
        <v>27234.140178588274</v>
      </c>
      <c r="I15" s="90">
        <v>28214.251043044147</v>
      </c>
      <c r="J15" s="90">
        <v>23715.625166389313</v>
      </c>
      <c r="K15" s="90">
        <v>27087.062818168015</v>
      </c>
      <c r="L15" s="90">
        <v>32620.845911603821</v>
      </c>
      <c r="M15" s="90">
        <v>31425.568837482289</v>
      </c>
      <c r="N15" s="90">
        <v>26290.522432745875</v>
      </c>
      <c r="O15" s="90">
        <v>29447.37431684777</v>
      </c>
      <c r="P15" s="90">
        <v>34605.521189184583</v>
      </c>
      <c r="Q15" s="90">
        <v>34765.615710383587</v>
      </c>
      <c r="R15" s="90">
        <v>29271.488783584056</v>
      </c>
      <c r="S15" s="90">
        <v>28674.73363763719</v>
      </c>
      <c r="T15" s="90">
        <v>33083.15124070926</v>
      </c>
      <c r="U15" s="90">
        <v>31663.906819573851</v>
      </c>
      <c r="V15" s="90">
        <v>26604.208302079704</v>
      </c>
      <c r="W15" s="90">
        <v>29710.02898840926</v>
      </c>
      <c r="X15" s="90">
        <v>36649.584453412725</v>
      </c>
      <c r="Y15" s="90">
        <v>34768.272439959735</v>
      </c>
      <c r="Z15" s="90">
        <v>30375.11411821828</v>
      </c>
      <c r="AA15" s="90">
        <v>35503.927675856787</v>
      </c>
      <c r="AB15" s="90">
        <v>42885.83807734069</v>
      </c>
      <c r="AC15" s="90">
        <v>42623.776682858348</v>
      </c>
      <c r="AD15" s="90">
        <v>34838.457563944154</v>
      </c>
      <c r="AE15" s="90">
        <v>38420.058512825432</v>
      </c>
      <c r="AF15" s="90">
        <v>47146.295994076921</v>
      </c>
      <c r="AG15" s="90">
        <v>41460.760775533709</v>
      </c>
      <c r="AH15" s="90">
        <v>33323.884717563924</v>
      </c>
      <c r="AI15" s="90">
        <v>39587.914955691434</v>
      </c>
      <c r="AJ15" s="90">
        <v>49537.531741493287</v>
      </c>
      <c r="AK15" s="90">
        <v>48137.976836984162</v>
      </c>
      <c r="AL15" s="90">
        <v>35605.576465831102</v>
      </c>
      <c r="AM15" s="90">
        <v>45621.398534104083</v>
      </c>
      <c r="AN15" s="90">
        <v>54366.002569157041</v>
      </c>
      <c r="AO15" s="90">
        <v>51206.560645009391</v>
      </c>
      <c r="AP15" s="90">
        <v>42339.038251729464</v>
      </c>
      <c r="AQ15" s="90">
        <v>45629.520550446854</v>
      </c>
      <c r="AR15" s="90">
        <v>50836.47198982261</v>
      </c>
      <c r="AS15" s="90">
        <v>52724.857338992144</v>
      </c>
      <c r="AT15" s="90">
        <v>42114.150120738384</v>
      </c>
      <c r="AU15" s="90">
        <v>49513.564214996521</v>
      </c>
      <c r="AV15" s="90">
        <v>49853.542340527623</v>
      </c>
      <c r="AW15" s="90">
        <v>53431.836168168127</v>
      </c>
      <c r="AX15" s="90">
        <v>38195.057276307707</v>
      </c>
      <c r="AY15" s="90">
        <v>49865.41658629696</v>
      </c>
      <c r="AZ15" s="90">
        <v>48068.736811750248</v>
      </c>
      <c r="BA15" s="90">
        <v>51447.385225826634</v>
      </c>
      <c r="BB15" s="90">
        <v>35446.461376126157</v>
      </c>
      <c r="BC15" s="90">
        <v>47438.283024786935</v>
      </c>
      <c r="BD15" s="90">
        <v>48547.999793788003</v>
      </c>
      <c r="BE15" s="90">
        <v>52418.146546309232</v>
      </c>
      <c r="BF15" s="90">
        <v>39203.570635115815</v>
      </c>
      <c r="BG15" s="90">
        <v>51679.275280730661</v>
      </c>
      <c r="BH15" s="90">
        <v>49562.685705610391</v>
      </c>
      <c r="BI15" s="90">
        <v>55250.433496735357</v>
      </c>
      <c r="BJ15" s="90">
        <v>36654.605516923577</v>
      </c>
      <c r="BK15" s="90">
        <v>46075.353715426267</v>
      </c>
      <c r="BL15" s="90">
        <v>33674.438577926267</v>
      </c>
      <c r="BM15" s="90">
        <v>45531.961190932452</v>
      </c>
      <c r="BN15" s="90">
        <v>27921.246515715011</v>
      </c>
      <c r="BO15" s="90">
        <v>44240.554877335664</v>
      </c>
      <c r="BP15" s="90">
        <v>44827.742157869099</v>
      </c>
      <c r="BQ15" s="90">
        <v>49486.589057916397</v>
      </c>
      <c r="BR15" s="90">
        <v>32368.113906878847</v>
      </c>
      <c r="BS15" s="90">
        <v>52350.015341045546</v>
      </c>
      <c r="BT15" s="90">
        <v>47973.173462263563</v>
      </c>
      <c r="BU15" s="90">
        <v>57661.907066547807</v>
      </c>
      <c r="BV15" s="90">
        <v>40358.904130143092</v>
      </c>
      <c r="BW15" s="90">
        <v>52140.523534976863</v>
      </c>
      <c r="BX15" s="90">
        <v>41553.741638340565</v>
      </c>
      <c r="BY15" s="90">
        <v>42317.116151407412</v>
      </c>
      <c r="BZ15" s="90">
        <v>30394.618675275167</v>
      </c>
      <c r="CA15" s="90">
        <v>46049.784502839837</v>
      </c>
      <c r="CB15" s="90">
        <v>42342.659497999965</v>
      </c>
      <c r="CC15" s="90">
        <v>50160.977135688314</v>
      </c>
      <c r="CD15" s="90">
        <v>31834.578863471845</v>
      </c>
      <c r="CE15" s="90">
        <v>49687.498509334306</v>
      </c>
      <c r="CF15" s="90">
        <v>44507.053487093654</v>
      </c>
      <c r="CG15" s="90">
        <v>50879.048204960447</v>
      </c>
      <c r="CH15" s="91">
        <v>28873.791564107309</v>
      </c>
    </row>
    <row r="16" spans="1:86" s="38" customFormat="1" x14ac:dyDescent="0.2">
      <c r="A16" s="104" t="s">
        <v>68</v>
      </c>
      <c r="B16" s="105" t="s">
        <v>69</v>
      </c>
      <c r="C16" s="90">
        <v>19831.477633074552</v>
      </c>
      <c r="D16" s="90">
        <v>22333.865157383003</v>
      </c>
      <c r="E16" s="90">
        <v>22882.817521835528</v>
      </c>
      <c r="F16" s="90">
        <v>23076.839687706917</v>
      </c>
      <c r="G16" s="90">
        <v>22337.196251130565</v>
      </c>
      <c r="H16" s="90">
        <v>23616.113288567132</v>
      </c>
      <c r="I16" s="90">
        <v>24648.785254408082</v>
      </c>
      <c r="J16" s="90">
        <v>25910.905205894232</v>
      </c>
      <c r="K16" s="90">
        <v>22749.43964600905</v>
      </c>
      <c r="L16" s="90">
        <v>23879.21606401158</v>
      </c>
      <c r="M16" s="90">
        <v>26699.484676656</v>
      </c>
      <c r="N16" s="90">
        <v>29187.859613323373</v>
      </c>
      <c r="O16" s="90">
        <v>25886.59288118899</v>
      </c>
      <c r="P16" s="90">
        <v>26784.471003878214</v>
      </c>
      <c r="Q16" s="90">
        <v>26681.821471935124</v>
      </c>
      <c r="R16" s="90">
        <v>25251.114642997662</v>
      </c>
      <c r="S16" s="90">
        <v>24406.00523106796</v>
      </c>
      <c r="T16" s="90">
        <v>24028.164865612169</v>
      </c>
      <c r="U16" s="90">
        <v>24749.954200770255</v>
      </c>
      <c r="V16" s="90">
        <v>25973.875702549631</v>
      </c>
      <c r="W16" s="90">
        <v>24198.079124642249</v>
      </c>
      <c r="X16" s="90">
        <v>25176.64579551142</v>
      </c>
      <c r="Y16" s="90">
        <v>25210.557079011607</v>
      </c>
      <c r="Z16" s="90">
        <v>26617.718000834728</v>
      </c>
      <c r="AA16" s="90">
        <v>27426.424661583231</v>
      </c>
      <c r="AB16" s="90">
        <v>28064.06135534609</v>
      </c>
      <c r="AC16" s="90">
        <v>28190.064502382706</v>
      </c>
      <c r="AD16" s="90">
        <v>29927.44948068797</v>
      </c>
      <c r="AE16" s="90">
        <v>29769.724501654022</v>
      </c>
      <c r="AF16" s="90">
        <v>28695.080304655316</v>
      </c>
      <c r="AG16" s="90">
        <v>30038.436765734208</v>
      </c>
      <c r="AH16" s="90">
        <v>30186.758427956462</v>
      </c>
      <c r="AI16" s="90">
        <v>28895.469899314168</v>
      </c>
      <c r="AJ16" s="90">
        <v>31197.575295096711</v>
      </c>
      <c r="AK16" s="90">
        <v>30326.538409095057</v>
      </c>
      <c r="AL16" s="90">
        <v>33821.416396494067</v>
      </c>
      <c r="AM16" s="90">
        <v>30502.450385273896</v>
      </c>
      <c r="AN16" s="90">
        <v>30298.845503538396</v>
      </c>
      <c r="AO16" s="90">
        <v>31231.104330311915</v>
      </c>
      <c r="AP16" s="90">
        <v>31849.5997808758</v>
      </c>
      <c r="AQ16" s="90">
        <v>30585.323262780268</v>
      </c>
      <c r="AR16" s="90">
        <v>32190.708488531865</v>
      </c>
      <c r="AS16" s="90">
        <v>30319.262600540031</v>
      </c>
      <c r="AT16" s="90">
        <v>32840.705648147836</v>
      </c>
      <c r="AU16" s="90">
        <v>30067.974870508875</v>
      </c>
      <c r="AV16" s="90">
        <v>30729.535478664446</v>
      </c>
      <c r="AW16" s="90">
        <v>30634.087832076744</v>
      </c>
      <c r="AX16" s="90">
        <v>34241.401818749939</v>
      </c>
      <c r="AY16" s="90">
        <v>31008.90481179424</v>
      </c>
      <c r="AZ16" s="90">
        <v>31689.325048677292</v>
      </c>
      <c r="BA16" s="90">
        <v>31797.103313209111</v>
      </c>
      <c r="BB16" s="90">
        <v>34406.666826319357</v>
      </c>
      <c r="BC16" s="90">
        <v>30290.307212206069</v>
      </c>
      <c r="BD16" s="90">
        <v>31637.209749857277</v>
      </c>
      <c r="BE16" s="90">
        <v>32292.940234270001</v>
      </c>
      <c r="BF16" s="90">
        <v>35509.542803666656</v>
      </c>
      <c r="BG16" s="90">
        <v>32383.563720244932</v>
      </c>
      <c r="BH16" s="90">
        <v>33754.201475142625</v>
      </c>
      <c r="BI16" s="90">
        <v>33131.091279129971</v>
      </c>
      <c r="BJ16" s="90">
        <v>34462.143525482468</v>
      </c>
      <c r="BK16" s="90">
        <v>30089.282428215603</v>
      </c>
      <c r="BL16" s="90">
        <v>23187.731109314023</v>
      </c>
      <c r="BM16" s="90">
        <v>23824.353761348946</v>
      </c>
      <c r="BN16" s="90">
        <v>26594.632701121423</v>
      </c>
      <c r="BO16" s="90">
        <v>27041.913095974785</v>
      </c>
      <c r="BP16" s="90">
        <v>26412.121370407367</v>
      </c>
      <c r="BQ16" s="90">
        <v>30083.477148891248</v>
      </c>
      <c r="BR16" s="90">
        <v>35333.48838472661</v>
      </c>
      <c r="BS16" s="90">
        <v>31642.300586493278</v>
      </c>
      <c r="BT16" s="90">
        <v>32988.542680110106</v>
      </c>
      <c r="BU16" s="90">
        <v>34299.015861375461</v>
      </c>
      <c r="BV16" s="90">
        <v>34753.140872021133</v>
      </c>
      <c r="BW16" s="90">
        <v>32665.64984236813</v>
      </c>
      <c r="BX16" s="90">
        <v>33508.3904028955</v>
      </c>
      <c r="BY16" s="90">
        <v>34444.177959453606</v>
      </c>
      <c r="BZ16" s="90">
        <v>37226.781795282761</v>
      </c>
      <c r="CA16" s="90">
        <v>32589.736612037483</v>
      </c>
      <c r="CB16" s="90">
        <v>33628.264730322531</v>
      </c>
      <c r="CC16" s="90">
        <v>34113.570689705091</v>
      </c>
      <c r="CD16" s="90">
        <v>38051.427967934891</v>
      </c>
      <c r="CE16" s="90">
        <v>33651.523588349482</v>
      </c>
      <c r="CF16" s="90">
        <v>33750.621489448182</v>
      </c>
      <c r="CG16" s="90">
        <v>35035.366612127458</v>
      </c>
      <c r="CH16" s="91">
        <v>38496.496041049002</v>
      </c>
    </row>
    <row r="17" spans="1:86" x14ac:dyDescent="0.2">
      <c r="A17" s="92" t="s">
        <v>70</v>
      </c>
      <c r="B17" s="93" t="s">
        <v>71</v>
      </c>
      <c r="C17" s="94">
        <v>17191.887060067169</v>
      </c>
      <c r="D17" s="94">
        <v>19339.357669821296</v>
      </c>
      <c r="E17" s="94">
        <v>20415.211641254748</v>
      </c>
      <c r="F17" s="94">
        <v>21761.543628856791</v>
      </c>
      <c r="G17" s="94">
        <v>19843.49814535493</v>
      </c>
      <c r="H17" s="94">
        <v>22699.553320554653</v>
      </c>
      <c r="I17" s="94">
        <v>24811.224485159095</v>
      </c>
      <c r="J17" s="94">
        <v>25270.724048931319</v>
      </c>
      <c r="K17" s="94">
        <v>22971.884272095285</v>
      </c>
      <c r="L17" s="94">
        <v>25138.541217427868</v>
      </c>
      <c r="M17" s="94">
        <v>27951.173148834445</v>
      </c>
      <c r="N17" s="94">
        <v>29399.401361642391</v>
      </c>
      <c r="O17" s="94">
        <v>26870.346507026865</v>
      </c>
      <c r="P17" s="94">
        <v>27925.18544291905</v>
      </c>
      <c r="Q17" s="94">
        <v>30610.740344497473</v>
      </c>
      <c r="R17" s="94">
        <v>33249.727705556601</v>
      </c>
      <c r="S17" s="94">
        <v>26942.143289179163</v>
      </c>
      <c r="T17" s="94">
        <v>25672.50388202352</v>
      </c>
      <c r="U17" s="94">
        <v>26739.44957445786</v>
      </c>
      <c r="V17" s="94">
        <v>29040.903254339453</v>
      </c>
      <c r="W17" s="94">
        <v>26872.720960711897</v>
      </c>
      <c r="X17" s="94">
        <v>29019.313498632924</v>
      </c>
      <c r="Y17" s="94">
        <v>30983.89572195119</v>
      </c>
      <c r="Z17" s="94">
        <v>33258.069818703982</v>
      </c>
      <c r="AA17" s="94">
        <v>32036.199017430787</v>
      </c>
      <c r="AB17" s="94">
        <v>35552.833244649286</v>
      </c>
      <c r="AC17" s="94">
        <v>37143.517911382129</v>
      </c>
      <c r="AD17" s="94">
        <v>39703.449826537784</v>
      </c>
      <c r="AE17" s="94">
        <v>36718.513141960546</v>
      </c>
      <c r="AF17" s="94">
        <v>38996.591580058521</v>
      </c>
      <c r="AG17" s="94">
        <v>40953.575942859854</v>
      </c>
      <c r="AH17" s="94">
        <v>41308.319335121087</v>
      </c>
      <c r="AI17" s="94">
        <v>39193.370741084545</v>
      </c>
      <c r="AJ17" s="94">
        <v>42788.536632192903</v>
      </c>
      <c r="AK17" s="94">
        <v>44415.279619751906</v>
      </c>
      <c r="AL17" s="94">
        <v>45045.813006970668</v>
      </c>
      <c r="AM17" s="94">
        <v>42509.442874592256</v>
      </c>
      <c r="AN17" s="94">
        <v>45820.851523752986</v>
      </c>
      <c r="AO17" s="94">
        <v>46418.098746764226</v>
      </c>
      <c r="AP17" s="94">
        <v>49998.606854890517</v>
      </c>
      <c r="AQ17" s="94">
        <v>43154.379398317309</v>
      </c>
      <c r="AR17" s="94">
        <v>44377.698842412814</v>
      </c>
      <c r="AS17" s="94">
        <v>48338.023496774367</v>
      </c>
      <c r="AT17" s="94">
        <v>46879.898262495517</v>
      </c>
      <c r="AU17" s="94">
        <v>42232.183506286172</v>
      </c>
      <c r="AV17" s="94">
        <v>43640.08783220873</v>
      </c>
      <c r="AW17" s="94">
        <v>44202.933332394423</v>
      </c>
      <c r="AX17" s="94">
        <v>46203.795329110682</v>
      </c>
      <c r="AY17" s="94">
        <v>43270.780536015853</v>
      </c>
      <c r="AZ17" s="94">
        <v>44758.818723439741</v>
      </c>
      <c r="BA17" s="94">
        <v>44860.126425924464</v>
      </c>
      <c r="BB17" s="94">
        <v>45185.274314619943</v>
      </c>
      <c r="BC17" s="94">
        <v>42666.011836102713</v>
      </c>
      <c r="BD17" s="94">
        <v>46805.548346124684</v>
      </c>
      <c r="BE17" s="94">
        <v>47121.114145487387</v>
      </c>
      <c r="BF17" s="94">
        <v>51820.325672285231</v>
      </c>
      <c r="BG17" s="94">
        <v>47737.016799103389</v>
      </c>
      <c r="BH17" s="94">
        <v>51081.703306989722</v>
      </c>
      <c r="BI17" s="94">
        <v>52287.789603992627</v>
      </c>
      <c r="BJ17" s="94">
        <v>51143.490289914269</v>
      </c>
      <c r="BK17" s="94">
        <v>45676.654976021367</v>
      </c>
      <c r="BL17" s="94">
        <v>33917.385082627618</v>
      </c>
      <c r="BM17" s="94">
        <v>38904.962037669698</v>
      </c>
      <c r="BN17" s="94">
        <v>43113.997903681309</v>
      </c>
      <c r="BO17" s="94">
        <v>43287.182665644876</v>
      </c>
      <c r="BP17" s="94">
        <v>49494.877392365634</v>
      </c>
      <c r="BQ17" s="94">
        <v>54303.198583424492</v>
      </c>
      <c r="BR17" s="94">
        <v>57724.741358565007</v>
      </c>
      <c r="BS17" s="94">
        <v>60097.175509158333</v>
      </c>
      <c r="BT17" s="94">
        <v>62196.963101726309</v>
      </c>
      <c r="BU17" s="94">
        <v>67259.286210233986</v>
      </c>
      <c r="BV17" s="94">
        <v>64417.575178881401</v>
      </c>
      <c r="BW17" s="94">
        <v>59110.861046570142</v>
      </c>
      <c r="BX17" s="94">
        <v>57214.089903619839</v>
      </c>
      <c r="BY17" s="94">
        <v>54913.957235627793</v>
      </c>
      <c r="BZ17" s="94">
        <v>57259.091814182255</v>
      </c>
      <c r="CA17" s="94">
        <v>52552.516086218151</v>
      </c>
      <c r="CB17" s="94">
        <v>57422.493718800361</v>
      </c>
      <c r="CC17" s="94">
        <v>59552.080953876422</v>
      </c>
      <c r="CD17" s="94">
        <v>61629.909241105059</v>
      </c>
      <c r="CE17" s="94">
        <v>59221.745443098516</v>
      </c>
      <c r="CF17" s="94">
        <v>63408.012629916855</v>
      </c>
      <c r="CG17" s="94">
        <v>65475.264301855757</v>
      </c>
      <c r="CH17" s="95">
        <v>62513.809710332149</v>
      </c>
    </row>
    <row r="18" spans="1:86" x14ac:dyDescent="0.2">
      <c r="A18" s="106" t="s">
        <v>42</v>
      </c>
      <c r="B18" s="107" t="s">
        <v>46</v>
      </c>
      <c r="C18" s="108">
        <v>121117.73043670836</v>
      </c>
      <c r="D18" s="108">
        <v>125559.33523959867</v>
      </c>
      <c r="E18" s="108">
        <v>129223.31345343766</v>
      </c>
      <c r="F18" s="108">
        <v>138952.62087025528</v>
      </c>
      <c r="G18" s="108">
        <v>128839.68114415972</v>
      </c>
      <c r="H18" s="108">
        <v>132242.90768508735</v>
      </c>
      <c r="I18" s="108">
        <v>139114.40832028733</v>
      </c>
      <c r="J18" s="108">
        <v>149238.00285046562</v>
      </c>
      <c r="K18" s="108">
        <v>137488.51677684105</v>
      </c>
      <c r="L18" s="108">
        <v>141316.49758886755</v>
      </c>
      <c r="M18" s="108">
        <v>148649.96660040549</v>
      </c>
      <c r="N18" s="108">
        <v>159002.01903388588</v>
      </c>
      <c r="O18" s="108">
        <v>144602.69329964361</v>
      </c>
      <c r="P18" s="108">
        <v>148078.93371272669</v>
      </c>
      <c r="Q18" s="108">
        <v>153584.53401167839</v>
      </c>
      <c r="R18" s="108">
        <v>159446.83897595131</v>
      </c>
      <c r="S18" s="108">
        <v>144812.49303091533</v>
      </c>
      <c r="T18" s="108">
        <v>149108.60209883322</v>
      </c>
      <c r="U18" s="108">
        <v>154402.16390151772</v>
      </c>
      <c r="V18" s="108">
        <v>164292.74096873379</v>
      </c>
      <c r="W18" s="108">
        <v>150431.72486548449</v>
      </c>
      <c r="X18" s="108">
        <v>156004.20299584756</v>
      </c>
      <c r="Y18" s="108">
        <v>160651.52145567001</v>
      </c>
      <c r="Z18" s="108">
        <v>173063.550682998</v>
      </c>
      <c r="AA18" s="108">
        <v>160659.87523842824</v>
      </c>
      <c r="AB18" s="108">
        <v>166585.3291953743</v>
      </c>
      <c r="AC18" s="108">
        <v>173372.35528380543</v>
      </c>
      <c r="AD18" s="108">
        <v>184010.44028239194</v>
      </c>
      <c r="AE18" s="108">
        <v>170516.60939566811</v>
      </c>
      <c r="AF18" s="108">
        <v>174658.11584143451</v>
      </c>
      <c r="AG18" s="108">
        <v>177268.44995332355</v>
      </c>
      <c r="AH18" s="108">
        <v>188971.82480957385</v>
      </c>
      <c r="AI18" s="108">
        <v>174578.04238681134</v>
      </c>
      <c r="AJ18" s="108">
        <v>184043.02456696131</v>
      </c>
      <c r="AK18" s="108">
        <v>188345.14461420866</v>
      </c>
      <c r="AL18" s="108">
        <v>200972.78843201874</v>
      </c>
      <c r="AM18" s="108">
        <v>186100.21812101797</v>
      </c>
      <c r="AN18" s="108">
        <v>190347.09009192581</v>
      </c>
      <c r="AO18" s="108">
        <v>196605.8725837215</v>
      </c>
      <c r="AP18" s="108">
        <v>208535.81920333469</v>
      </c>
      <c r="AQ18" s="108">
        <v>191363.27537481778</v>
      </c>
      <c r="AR18" s="108">
        <v>196861.40095864589</v>
      </c>
      <c r="AS18" s="108">
        <v>203635.77081291782</v>
      </c>
      <c r="AT18" s="108">
        <v>212831.55285361854</v>
      </c>
      <c r="AU18" s="108">
        <v>195907.74050669238</v>
      </c>
      <c r="AV18" s="108">
        <v>201038.9937938138</v>
      </c>
      <c r="AW18" s="108">
        <v>206805.58283950313</v>
      </c>
      <c r="AX18" s="108">
        <v>217736.68285999072</v>
      </c>
      <c r="AY18" s="108">
        <v>198002.90169194018</v>
      </c>
      <c r="AZ18" s="108">
        <v>203591.84236232319</v>
      </c>
      <c r="BA18" s="108">
        <v>210300.68285233571</v>
      </c>
      <c r="BB18" s="108">
        <v>220760.57309340095</v>
      </c>
      <c r="BC18" s="108">
        <v>201268.44821060167</v>
      </c>
      <c r="BD18" s="108">
        <v>209187.54507868784</v>
      </c>
      <c r="BE18" s="108">
        <v>216359.03079192876</v>
      </c>
      <c r="BF18" s="108">
        <v>227192.97591878168</v>
      </c>
      <c r="BG18" s="108">
        <v>208263.58830459943</v>
      </c>
      <c r="BH18" s="108">
        <v>215620.26717555753</v>
      </c>
      <c r="BI18" s="108">
        <v>223124.45574955601</v>
      </c>
      <c r="BJ18" s="108">
        <v>234215.68877028709</v>
      </c>
      <c r="BK18" s="108">
        <v>208984.3672610599</v>
      </c>
      <c r="BL18" s="108">
        <v>179587.94992052202</v>
      </c>
      <c r="BM18" s="108">
        <v>202864.17066675689</v>
      </c>
      <c r="BN18" s="108">
        <v>226463.51215166118</v>
      </c>
      <c r="BO18" s="108">
        <v>212118.50664005245</v>
      </c>
      <c r="BP18" s="108">
        <v>212672.15151132591</v>
      </c>
      <c r="BQ18" s="108">
        <v>229893.55275838362</v>
      </c>
      <c r="BR18" s="108">
        <v>251558.78909023802</v>
      </c>
      <c r="BS18" s="108">
        <v>229311.00160365616</v>
      </c>
      <c r="BT18" s="108">
        <v>239013.84522825145</v>
      </c>
      <c r="BU18" s="108">
        <v>246908.05578446505</v>
      </c>
      <c r="BV18" s="108">
        <v>257422.09738362732</v>
      </c>
      <c r="BW18" s="108">
        <v>235748.93524516877</v>
      </c>
      <c r="BX18" s="108">
        <v>239983.68203857203</v>
      </c>
      <c r="BY18" s="108">
        <v>245804.90840946528</v>
      </c>
      <c r="BZ18" s="108">
        <v>259305.47430679397</v>
      </c>
      <c r="CA18" s="108">
        <v>236500.45788595171</v>
      </c>
      <c r="CB18" s="108">
        <v>243822.83983365001</v>
      </c>
      <c r="CC18" s="108">
        <v>249751.84956036223</v>
      </c>
      <c r="CD18" s="108">
        <v>265414.85272003605</v>
      </c>
      <c r="CE18" s="108">
        <v>242632.98343363692</v>
      </c>
      <c r="CF18" s="108">
        <v>248985.66441538135</v>
      </c>
      <c r="CG18" s="108">
        <v>258737.57184249646</v>
      </c>
      <c r="CH18" s="109">
        <v>271434.71410917508</v>
      </c>
    </row>
    <row r="19" spans="1:86" x14ac:dyDescent="0.2">
      <c r="A19" s="104"/>
      <c r="B19" s="105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05"/>
    </row>
    <row r="20" spans="1:86" s="25" customFormat="1" ht="12" customHeight="1" x14ac:dyDescent="0.2">
      <c r="A20" s="111" t="s">
        <v>72</v>
      </c>
      <c r="B20" s="47"/>
      <c r="C20" s="47"/>
      <c r="D20" s="47"/>
      <c r="E20" s="47"/>
      <c r="F20" s="112"/>
      <c r="G20" s="48"/>
      <c r="BD20" s="1"/>
      <c r="BE20" s="1"/>
      <c r="BF20" s="1"/>
    </row>
    <row r="21" spans="1:86" s="25" customFormat="1" ht="12" customHeight="1" x14ac:dyDescent="0.25">
      <c r="A21" s="113" t="s">
        <v>48</v>
      </c>
      <c r="B21" s="50"/>
      <c r="C21" s="50"/>
      <c r="D21" s="50"/>
      <c r="E21" s="50"/>
      <c r="G21" s="51"/>
    </row>
    <row r="22" spans="1:86" s="25" customFormat="1" ht="12" customHeight="1" x14ac:dyDescent="0.25">
      <c r="A22" s="113" t="s">
        <v>49</v>
      </c>
      <c r="B22" s="50"/>
      <c r="C22" s="50"/>
      <c r="D22" s="50"/>
      <c r="E22" s="50"/>
      <c r="G22" s="51"/>
    </row>
    <row r="23" spans="1:86" s="25" customFormat="1" ht="12" customHeight="1" x14ac:dyDescent="0.25">
      <c r="A23" s="113" t="s">
        <v>73</v>
      </c>
      <c r="B23" s="50"/>
      <c r="C23" s="50"/>
      <c r="D23" s="50"/>
      <c r="E23" s="50"/>
      <c r="G23" s="51"/>
    </row>
    <row r="24" spans="1:86" s="25" customFormat="1" ht="12" customHeight="1" x14ac:dyDescent="0.25">
      <c r="A24" s="49" t="s">
        <v>74</v>
      </c>
      <c r="B24" s="50"/>
      <c r="C24" s="50"/>
      <c r="D24" s="50"/>
      <c r="E24" s="50"/>
      <c r="G24" s="51"/>
    </row>
    <row r="25" spans="1:86" s="25" customFormat="1" ht="12" customHeight="1" x14ac:dyDescent="0.25">
      <c r="A25" s="52" t="s">
        <v>50</v>
      </c>
      <c r="B25" s="53"/>
      <c r="C25" s="53"/>
      <c r="D25" s="53"/>
      <c r="E25" s="53"/>
      <c r="F25" s="114"/>
      <c r="G25" s="54"/>
    </row>
    <row r="26" spans="1:86" s="2" customFormat="1" x14ac:dyDescent="0.2">
      <c r="BH26" s="25"/>
    </row>
    <row r="27" spans="1:86" s="2" customFormat="1" x14ac:dyDescent="0.2">
      <c r="Q27" s="25"/>
    </row>
    <row r="28" spans="1:86" s="2" customFormat="1" ht="13.5" customHeight="1" x14ac:dyDescent="0.2">
      <c r="A28" s="168" t="s">
        <v>0</v>
      </c>
      <c r="B28" s="168"/>
      <c r="C28" s="168"/>
      <c r="D28" s="168"/>
      <c r="E28" s="168"/>
      <c r="F28" s="168"/>
      <c r="G28" s="168"/>
      <c r="BH28" s="1"/>
    </row>
    <row r="29" spans="1:86" s="2" customFormat="1" ht="13.5" customHeight="1" x14ac:dyDescent="0.2">
      <c r="A29" s="168"/>
      <c r="B29" s="168"/>
      <c r="C29" s="168"/>
      <c r="D29" s="168"/>
      <c r="E29" s="168"/>
      <c r="F29" s="168"/>
      <c r="G29" s="168"/>
    </row>
    <row r="30" spans="1:86" s="2" customFormat="1" ht="14.1" customHeight="1" x14ac:dyDescent="0.2">
      <c r="A30" s="5" t="s">
        <v>51</v>
      </c>
      <c r="B30" s="6"/>
      <c r="C30" s="6"/>
      <c r="D30" s="6"/>
      <c r="E30" s="6"/>
      <c r="F30" s="6"/>
      <c r="G30" s="7"/>
    </row>
    <row r="31" spans="1:86" s="2" customFormat="1" ht="14.1" customHeight="1" x14ac:dyDescent="0.2">
      <c r="A31" s="5" t="s">
        <v>52</v>
      </c>
      <c r="B31" s="6"/>
      <c r="C31" s="6"/>
      <c r="D31" s="6"/>
      <c r="E31" s="6"/>
      <c r="F31" s="6"/>
      <c r="G31" s="7"/>
    </row>
    <row r="32" spans="1:86" s="2" customFormat="1" ht="15" customHeight="1" x14ac:dyDescent="0.2">
      <c r="A32" s="9" t="s">
        <v>55</v>
      </c>
      <c r="B32" s="10"/>
      <c r="C32" s="10"/>
      <c r="D32" s="10"/>
      <c r="E32" s="10"/>
      <c r="F32" s="10"/>
      <c r="G32" s="11"/>
    </row>
    <row r="33" spans="1:86" x14ac:dyDescent="0.2">
      <c r="BH33" s="2"/>
    </row>
    <row r="34" spans="1:86" s="13" customFormat="1" ht="39.950000000000003" customHeight="1" x14ac:dyDescent="0.25">
      <c r="A34" s="172" t="s">
        <v>8</v>
      </c>
      <c r="B34" s="170" t="s">
        <v>10</v>
      </c>
      <c r="C34" s="170"/>
      <c r="D34" s="170"/>
      <c r="E34" s="170"/>
      <c r="F34" s="170"/>
      <c r="G34" s="170">
        <v>2006</v>
      </c>
      <c r="H34" s="170"/>
      <c r="I34" s="170"/>
      <c r="J34" s="170"/>
      <c r="K34" s="170">
        <v>2007</v>
      </c>
      <c r="L34" s="170"/>
      <c r="M34" s="170"/>
      <c r="N34" s="170"/>
      <c r="O34" s="170">
        <v>2008</v>
      </c>
      <c r="P34" s="170"/>
      <c r="Q34" s="170"/>
      <c r="R34" s="170"/>
      <c r="S34" s="170">
        <v>2009</v>
      </c>
      <c r="T34" s="170"/>
      <c r="U34" s="170"/>
      <c r="V34" s="170"/>
      <c r="W34" s="170">
        <v>2010</v>
      </c>
      <c r="X34" s="170"/>
      <c r="Y34" s="170"/>
      <c r="Z34" s="170"/>
      <c r="AA34" s="170">
        <v>2011</v>
      </c>
      <c r="AB34" s="170"/>
      <c r="AC34" s="170"/>
      <c r="AD34" s="170"/>
      <c r="AE34" s="170">
        <v>2012</v>
      </c>
      <c r="AF34" s="170"/>
      <c r="AG34" s="170"/>
      <c r="AH34" s="170"/>
      <c r="AI34" s="170">
        <v>2013</v>
      </c>
      <c r="AJ34" s="170"/>
      <c r="AK34" s="170"/>
      <c r="AL34" s="170"/>
      <c r="AM34" s="170">
        <v>2014</v>
      </c>
      <c r="AN34" s="170"/>
      <c r="AO34" s="170"/>
      <c r="AP34" s="170"/>
      <c r="AQ34" s="170">
        <v>2015</v>
      </c>
      <c r="AR34" s="170"/>
      <c r="AS34" s="170"/>
      <c r="AT34" s="170"/>
      <c r="AU34" s="170">
        <v>2016</v>
      </c>
      <c r="AV34" s="170"/>
      <c r="AW34" s="170"/>
      <c r="AX34" s="170"/>
      <c r="AY34" s="170">
        <v>2017</v>
      </c>
      <c r="AZ34" s="170"/>
      <c r="BA34" s="170"/>
      <c r="BB34" s="170"/>
      <c r="BC34" s="170">
        <v>2018</v>
      </c>
      <c r="BD34" s="170"/>
      <c r="BE34" s="170"/>
      <c r="BF34" s="170"/>
      <c r="BG34" s="170">
        <v>2019</v>
      </c>
      <c r="BH34" s="170"/>
      <c r="BI34" s="170"/>
      <c r="BJ34" s="170"/>
      <c r="BK34" s="170">
        <v>2020</v>
      </c>
      <c r="BL34" s="170"/>
      <c r="BM34" s="170"/>
      <c r="BN34" s="170"/>
      <c r="BO34" s="170">
        <v>2021</v>
      </c>
      <c r="BP34" s="170"/>
      <c r="BQ34" s="170"/>
      <c r="BR34" s="170"/>
      <c r="BS34" s="170">
        <v>2022</v>
      </c>
      <c r="BT34" s="170"/>
      <c r="BU34" s="170"/>
      <c r="BV34" s="170"/>
      <c r="BW34" s="170">
        <v>2023</v>
      </c>
      <c r="BX34" s="170"/>
      <c r="BY34" s="170"/>
      <c r="BZ34" s="170"/>
      <c r="CA34" s="170" t="s">
        <v>12</v>
      </c>
      <c r="CB34" s="170"/>
      <c r="CC34" s="170"/>
      <c r="CD34" s="170"/>
      <c r="CE34" s="170" t="s">
        <v>13</v>
      </c>
      <c r="CF34" s="170"/>
      <c r="CG34" s="170"/>
      <c r="CH34" s="171"/>
    </row>
    <row r="35" spans="1:86" s="13" customFormat="1" x14ac:dyDescent="0.25">
      <c r="A35" s="173"/>
      <c r="B35" s="174"/>
      <c r="C35" s="84"/>
      <c r="D35" s="84"/>
      <c r="E35" s="84"/>
      <c r="F35" s="84"/>
      <c r="G35" s="84" t="s">
        <v>14</v>
      </c>
      <c r="H35" s="84" t="s">
        <v>15</v>
      </c>
      <c r="I35" s="84" t="s">
        <v>16</v>
      </c>
      <c r="J35" s="84" t="s">
        <v>17</v>
      </c>
      <c r="K35" s="84" t="s">
        <v>14</v>
      </c>
      <c r="L35" s="84" t="s">
        <v>15</v>
      </c>
      <c r="M35" s="84" t="s">
        <v>16</v>
      </c>
      <c r="N35" s="84" t="s">
        <v>17</v>
      </c>
      <c r="O35" s="84" t="s">
        <v>14</v>
      </c>
      <c r="P35" s="84" t="s">
        <v>15</v>
      </c>
      <c r="Q35" s="84" t="s">
        <v>16</v>
      </c>
      <c r="R35" s="84" t="s">
        <v>17</v>
      </c>
      <c r="S35" s="84" t="s">
        <v>14</v>
      </c>
      <c r="T35" s="84" t="s">
        <v>15</v>
      </c>
      <c r="U35" s="84" t="s">
        <v>16</v>
      </c>
      <c r="V35" s="84" t="s">
        <v>17</v>
      </c>
      <c r="W35" s="84" t="s">
        <v>14</v>
      </c>
      <c r="X35" s="84" t="s">
        <v>15</v>
      </c>
      <c r="Y35" s="84" t="s">
        <v>16</v>
      </c>
      <c r="Z35" s="84" t="s">
        <v>17</v>
      </c>
      <c r="AA35" s="84" t="s">
        <v>14</v>
      </c>
      <c r="AB35" s="84" t="s">
        <v>15</v>
      </c>
      <c r="AC35" s="84" t="s">
        <v>16</v>
      </c>
      <c r="AD35" s="84" t="s">
        <v>17</v>
      </c>
      <c r="AE35" s="84" t="s">
        <v>14</v>
      </c>
      <c r="AF35" s="84" t="s">
        <v>15</v>
      </c>
      <c r="AG35" s="84" t="s">
        <v>16</v>
      </c>
      <c r="AH35" s="84" t="s">
        <v>17</v>
      </c>
      <c r="AI35" s="84" t="s">
        <v>14</v>
      </c>
      <c r="AJ35" s="84" t="s">
        <v>15</v>
      </c>
      <c r="AK35" s="84" t="s">
        <v>16</v>
      </c>
      <c r="AL35" s="84" t="s">
        <v>17</v>
      </c>
      <c r="AM35" s="84" t="s">
        <v>14</v>
      </c>
      <c r="AN35" s="84" t="s">
        <v>15</v>
      </c>
      <c r="AO35" s="84" t="s">
        <v>16</v>
      </c>
      <c r="AP35" s="84" t="s">
        <v>17</v>
      </c>
      <c r="AQ35" s="84" t="s">
        <v>14</v>
      </c>
      <c r="AR35" s="84" t="s">
        <v>15</v>
      </c>
      <c r="AS35" s="84" t="s">
        <v>16</v>
      </c>
      <c r="AT35" s="84" t="s">
        <v>17</v>
      </c>
      <c r="AU35" s="84" t="s">
        <v>14</v>
      </c>
      <c r="AV35" s="84" t="s">
        <v>15</v>
      </c>
      <c r="AW35" s="84" t="s">
        <v>16</v>
      </c>
      <c r="AX35" s="84" t="s">
        <v>17</v>
      </c>
      <c r="AY35" s="84" t="s">
        <v>14</v>
      </c>
      <c r="AZ35" s="84" t="s">
        <v>15</v>
      </c>
      <c r="BA35" s="84" t="s">
        <v>16</v>
      </c>
      <c r="BB35" s="84" t="s">
        <v>17</v>
      </c>
      <c r="BC35" s="84" t="s">
        <v>14</v>
      </c>
      <c r="BD35" s="84" t="s">
        <v>15</v>
      </c>
      <c r="BE35" s="84" t="s">
        <v>16</v>
      </c>
      <c r="BF35" s="84" t="s">
        <v>17</v>
      </c>
      <c r="BG35" s="84" t="s">
        <v>14</v>
      </c>
      <c r="BH35" s="84" t="s">
        <v>15</v>
      </c>
      <c r="BI35" s="84" t="s">
        <v>16</v>
      </c>
      <c r="BJ35" s="84" t="s">
        <v>17</v>
      </c>
      <c r="BK35" s="84" t="s">
        <v>14</v>
      </c>
      <c r="BL35" s="84" t="s">
        <v>15</v>
      </c>
      <c r="BM35" s="84" t="s">
        <v>16</v>
      </c>
      <c r="BN35" s="84" t="s">
        <v>17</v>
      </c>
      <c r="BO35" s="84" t="s">
        <v>14</v>
      </c>
      <c r="BP35" s="84" t="s">
        <v>15</v>
      </c>
      <c r="BQ35" s="84" t="s">
        <v>16</v>
      </c>
      <c r="BR35" s="84" t="s">
        <v>17</v>
      </c>
      <c r="BS35" s="84" t="s">
        <v>14</v>
      </c>
      <c r="BT35" s="84" t="s">
        <v>15</v>
      </c>
      <c r="BU35" s="84" t="s">
        <v>16</v>
      </c>
      <c r="BV35" s="84" t="s">
        <v>17</v>
      </c>
      <c r="BW35" s="84" t="s">
        <v>14</v>
      </c>
      <c r="BX35" s="84" t="s">
        <v>15</v>
      </c>
      <c r="BY35" s="84" t="s">
        <v>16</v>
      </c>
      <c r="BZ35" s="84" t="s">
        <v>17</v>
      </c>
      <c r="CA35" s="84" t="s">
        <v>14</v>
      </c>
      <c r="CB35" s="84" t="s">
        <v>15</v>
      </c>
      <c r="CC35" s="84" t="s">
        <v>16</v>
      </c>
      <c r="CD35" s="84" t="s">
        <v>17</v>
      </c>
      <c r="CE35" s="84" t="s">
        <v>14</v>
      </c>
      <c r="CF35" s="84" t="s">
        <v>15</v>
      </c>
      <c r="CG35" s="84" t="s">
        <v>16</v>
      </c>
      <c r="CH35" s="85" t="s">
        <v>17</v>
      </c>
    </row>
    <row r="36" spans="1:86" x14ac:dyDescent="0.2">
      <c r="A36" s="86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87"/>
      <c r="BQ36" s="87"/>
      <c r="BR36" s="87"/>
      <c r="BS36" s="87"/>
      <c r="BT36" s="87"/>
      <c r="BU36" s="87"/>
      <c r="BV36" s="87"/>
      <c r="BW36" s="87"/>
      <c r="BX36" s="87"/>
      <c r="BY36" s="87"/>
      <c r="BZ36" s="87"/>
      <c r="CA36" s="87"/>
      <c r="CB36" s="87"/>
      <c r="CC36" s="87"/>
      <c r="CD36" s="87"/>
      <c r="CE36" s="87"/>
      <c r="CF36" s="87"/>
      <c r="CG36" s="87"/>
      <c r="CH36" s="88"/>
    </row>
    <row r="37" spans="1:86" ht="14.25" x14ac:dyDescent="0.2">
      <c r="A37" s="89" t="s">
        <v>56</v>
      </c>
      <c r="B37" s="38" t="s">
        <v>57</v>
      </c>
      <c r="C37" s="115"/>
      <c r="D37" s="115"/>
      <c r="E37" s="115"/>
      <c r="F37" s="115"/>
      <c r="G37" s="116">
        <v>8.6775408595623986</v>
      </c>
      <c r="H37" s="116">
        <v>7.3716940067014747</v>
      </c>
      <c r="I37" s="116">
        <v>11.702758447440644</v>
      </c>
      <c r="J37" s="116">
        <v>6.2636149628717561</v>
      </c>
      <c r="K37" s="116">
        <v>9.3643368391292938</v>
      </c>
      <c r="L37" s="116">
        <v>8.6712854255875982</v>
      </c>
      <c r="M37" s="116">
        <v>7.8514546170359836</v>
      </c>
      <c r="N37" s="116">
        <v>7.584029573688909</v>
      </c>
      <c r="O37" s="116">
        <v>6.1875367216804023</v>
      </c>
      <c r="P37" s="116">
        <v>4.890767818080846</v>
      </c>
      <c r="Q37" s="116">
        <v>5.063690111483993</v>
      </c>
      <c r="R37" s="116">
        <v>5.1749115077402763</v>
      </c>
      <c r="S37" s="116">
        <v>1.2128731344573538</v>
      </c>
      <c r="T37" s="116">
        <v>0.9147301501534173</v>
      </c>
      <c r="U37" s="116">
        <v>-0.85155611471707005</v>
      </c>
      <c r="V37" s="116">
        <v>-0.13576498199998355</v>
      </c>
      <c r="W37" s="116">
        <v>3.8745892307235437</v>
      </c>
      <c r="X37" s="116">
        <v>6.1028207111826021</v>
      </c>
      <c r="Y37" s="116">
        <v>6.5085201771778003</v>
      </c>
      <c r="Z37" s="116">
        <v>7.4442247898528962</v>
      </c>
      <c r="AA37" s="116">
        <v>7.8907760599240362</v>
      </c>
      <c r="AB37" s="116">
        <v>8.7748427085811755</v>
      </c>
      <c r="AC37" s="116">
        <v>9.4187743121415792</v>
      </c>
      <c r="AD37" s="116">
        <v>7.6953398124237253</v>
      </c>
      <c r="AE37" s="116">
        <v>7.1815532254851746</v>
      </c>
      <c r="AF37" s="116">
        <v>6.2939429485525693</v>
      </c>
      <c r="AG37" s="116">
        <v>3.1201496864807723</v>
      </c>
      <c r="AH37" s="116">
        <v>3.3652130962025524</v>
      </c>
      <c r="AI37" s="116">
        <v>4.3366121148391983</v>
      </c>
      <c r="AJ37" s="116">
        <v>5.6148173889500441</v>
      </c>
      <c r="AK37" s="116">
        <v>7.6557906209638844</v>
      </c>
      <c r="AL37" s="116">
        <v>5.8620569226928154</v>
      </c>
      <c r="AM37" s="116">
        <v>7.1527731275319013</v>
      </c>
      <c r="AN37" s="116">
        <v>5.2952634206819766</v>
      </c>
      <c r="AO37" s="116">
        <v>4.6074536055020587</v>
      </c>
      <c r="AP37" s="116">
        <v>6.9307034299374948</v>
      </c>
      <c r="AQ37" s="116">
        <v>3.0319681002691965</v>
      </c>
      <c r="AR37" s="116">
        <v>1.6589353816741834</v>
      </c>
      <c r="AS37" s="116">
        <v>4.7436947439334176</v>
      </c>
      <c r="AT37" s="116">
        <v>0.21639007071621563</v>
      </c>
      <c r="AU37" s="116">
        <v>3.3317971658937608</v>
      </c>
      <c r="AV37" s="116">
        <v>0.65954305199673513</v>
      </c>
      <c r="AW37" s="116">
        <v>0.42448113236946483</v>
      </c>
      <c r="AX37" s="116">
        <v>0.67787731966888032</v>
      </c>
      <c r="AY37" s="116">
        <v>1.0657688044494904</v>
      </c>
      <c r="AZ37" s="116">
        <v>1.2762037617741271</v>
      </c>
      <c r="BA37" s="116">
        <v>1.3502680893480346</v>
      </c>
      <c r="BB37" s="116">
        <v>0.81818156242619011</v>
      </c>
      <c r="BC37" s="116">
        <v>1.6057621585466393</v>
      </c>
      <c r="BD37" s="116">
        <v>3.4981781353527168</v>
      </c>
      <c r="BE37" s="116">
        <v>3.491437096508804</v>
      </c>
      <c r="BF37" s="116">
        <v>5.0904311696666156</v>
      </c>
      <c r="BG37" s="116">
        <v>4.5653290082043725</v>
      </c>
      <c r="BH37" s="116">
        <v>3.7438036270554704</v>
      </c>
      <c r="BI37" s="116">
        <v>4.7502785547716968</v>
      </c>
      <c r="BJ37" s="116">
        <v>3.1078134676470768</v>
      </c>
      <c r="BK37" s="116">
        <v>0.53523607979504106</v>
      </c>
      <c r="BL37" s="116">
        <v>-18.019208329656081</v>
      </c>
      <c r="BM37" s="116">
        <v>-9.7400516879173438</v>
      </c>
      <c r="BN37" s="116">
        <v>-2.8951600386114222</v>
      </c>
      <c r="BO37" s="116">
        <v>1.8893354553300981</v>
      </c>
      <c r="BP37" s="116">
        <v>24.026423678348181</v>
      </c>
      <c r="BQ37" s="116">
        <v>16.640283029066708</v>
      </c>
      <c r="BR37" s="116">
        <v>12.689421144725117</v>
      </c>
      <c r="BS37" s="117">
        <v>13.031051367831495</v>
      </c>
      <c r="BT37" s="117">
        <v>13.775075589870454</v>
      </c>
      <c r="BU37" s="117">
        <v>10.233182881937509</v>
      </c>
      <c r="BV37" s="117">
        <v>4.9172934898192437</v>
      </c>
      <c r="BW37" s="117">
        <v>1.5572046718147732</v>
      </c>
      <c r="BX37" s="117">
        <v>-2.0159435740516329</v>
      </c>
      <c r="BY37" s="117">
        <v>-5.4103899688327317</v>
      </c>
      <c r="BZ37" s="117">
        <v>-3.4130482261048485</v>
      </c>
      <c r="CA37" s="117">
        <v>-2.3938448657469849</v>
      </c>
      <c r="CB37" s="117">
        <v>1.4602852457910984</v>
      </c>
      <c r="CC37" s="117">
        <v>3.5585626129884531</v>
      </c>
      <c r="CD37" s="117">
        <v>3.6738236333668084</v>
      </c>
      <c r="CE37" s="117">
        <v>4.4516886136971863</v>
      </c>
      <c r="CF37" s="117">
        <v>3.9769771773238318</v>
      </c>
      <c r="CG37" s="117">
        <v>4.912704982350661</v>
      </c>
      <c r="CH37" s="118">
        <v>2.3259900509948324</v>
      </c>
    </row>
    <row r="38" spans="1:86" x14ac:dyDescent="0.2">
      <c r="A38" s="92" t="s">
        <v>58</v>
      </c>
      <c r="B38" s="93" t="s">
        <v>59</v>
      </c>
      <c r="C38" s="119"/>
      <c r="D38" s="119"/>
      <c r="E38" s="119"/>
      <c r="F38" s="119"/>
      <c r="G38" s="120">
        <v>5.8105417811144804</v>
      </c>
      <c r="H38" s="120">
        <v>5.6064078193276004</v>
      </c>
      <c r="I38" s="120">
        <v>6.6941451770875915</v>
      </c>
      <c r="J38" s="120">
        <v>6.4929621526904668</v>
      </c>
      <c r="K38" s="120">
        <v>5.8435519120429973</v>
      </c>
      <c r="L38" s="120">
        <v>5.4140089425740427</v>
      </c>
      <c r="M38" s="120">
        <v>6.7913540416177653</v>
      </c>
      <c r="N38" s="120">
        <v>6.6825973117750692</v>
      </c>
      <c r="O38" s="120">
        <v>5.4998614619275088</v>
      </c>
      <c r="P38" s="120">
        <v>4.65246695131232</v>
      </c>
      <c r="Q38" s="120">
        <v>3.4371718442934593</v>
      </c>
      <c r="R38" s="120">
        <v>3.4940336291526819</v>
      </c>
      <c r="S38" s="120">
        <v>2.457536291624308</v>
      </c>
      <c r="T38" s="120">
        <v>2.6316505565062016</v>
      </c>
      <c r="U38" s="120">
        <v>2.0068844361854445</v>
      </c>
      <c r="V38" s="120">
        <v>1.8489178354687255</v>
      </c>
      <c r="W38" s="120">
        <v>3.9253036430613122</v>
      </c>
      <c r="X38" s="120">
        <v>4.6867734400095458</v>
      </c>
      <c r="Y38" s="120">
        <v>5.4600735888883207</v>
      </c>
      <c r="Z38" s="120">
        <v>6.0389185220639234</v>
      </c>
      <c r="AA38" s="120">
        <v>4.6252328309760742</v>
      </c>
      <c r="AB38" s="120">
        <v>6.4324033471835378</v>
      </c>
      <c r="AC38" s="120">
        <v>5.5016812327242945</v>
      </c>
      <c r="AD38" s="120">
        <v>6.0200602757293495</v>
      </c>
      <c r="AE38" s="120">
        <v>6.9143011359900299</v>
      </c>
      <c r="AF38" s="120">
        <v>5.1867686050849073</v>
      </c>
      <c r="AG38" s="120">
        <v>5.2781169489835236</v>
      </c>
      <c r="AH38" s="120">
        <v>4.8006626334675957</v>
      </c>
      <c r="AI38" s="120">
        <v>4.823921353841115</v>
      </c>
      <c r="AJ38" s="120">
        <v>5.926905575356443</v>
      </c>
      <c r="AK38" s="120">
        <v>5.1548184537411004</v>
      </c>
      <c r="AL38" s="120">
        <v>5.4751216684023802</v>
      </c>
      <c r="AM38" s="120">
        <v>4.7964144560403099</v>
      </c>
      <c r="AN38" s="120">
        <v>3.9632735262834728</v>
      </c>
      <c r="AO38" s="120">
        <v>4.1156370466344185</v>
      </c>
      <c r="AP38" s="120">
        <v>4.427661361131527</v>
      </c>
      <c r="AQ38" s="120">
        <v>4.0320129265290632</v>
      </c>
      <c r="AR38" s="120">
        <v>4.3600065318775307</v>
      </c>
      <c r="AS38" s="120">
        <v>5.3908536536613667</v>
      </c>
      <c r="AT38" s="120">
        <v>0.40334731238806398</v>
      </c>
      <c r="AU38" s="120">
        <v>1.8254010611540537</v>
      </c>
      <c r="AV38" s="120">
        <v>1.4746187890466018</v>
      </c>
      <c r="AW38" s="120">
        <v>0.12815895380340692</v>
      </c>
      <c r="AX38" s="120">
        <v>2.9343608544936757</v>
      </c>
      <c r="AY38" s="120">
        <v>1.2025870236293486</v>
      </c>
      <c r="AZ38" s="120">
        <v>2.7563217776614977</v>
      </c>
      <c r="BA38" s="120">
        <v>2.990747274811369</v>
      </c>
      <c r="BB38" s="120">
        <v>2.323416983029162</v>
      </c>
      <c r="BC38" s="120">
        <v>3.6132581521031852</v>
      </c>
      <c r="BD38" s="120">
        <v>4.2133196114056943</v>
      </c>
      <c r="BE38" s="120">
        <v>3.992220093540098</v>
      </c>
      <c r="BF38" s="120">
        <v>4.0359103471402307</v>
      </c>
      <c r="BG38" s="120">
        <v>3.3346405978682157</v>
      </c>
      <c r="BH38" s="120">
        <v>4.1867974868748092</v>
      </c>
      <c r="BI38" s="120">
        <v>4.5533104828892021</v>
      </c>
      <c r="BJ38" s="120">
        <v>4.9373234390705392</v>
      </c>
      <c r="BK38" s="120">
        <v>3.8874675900414104</v>
      </c>
      <c r="BL38" s="120">
        <v>-14.264735303409523</v>
      </c>
      <c r="BM38" s="120">
        <v>-7.4722419513773701</v>
      </c>
      <c r="BN38" s="120">
        <v>0.72790295920582082</v>
      </c>
      <c r="BO38" s="120">
        <v>3.3002797867935101</v>
      </c>
      <c r="BP38" s="120">
        <v>22.00857855266743</v>
      </c>
      <c r="BQ38" s="120">
        <v>18.606023925166951</v>
      </c>
      <c r="BR38" s="120">
        <v>12.546738447419131</v>
      </c>
      <c r="BS38" s="120">
        <v>11.729371001442885</v>
      </c>
      <c r="BT38" s="120">
        <v>15.403325074917433</v>
      </c>
      <c r="BU38" s="120">
        <v>8.6798397458729397</v>
      </c>
      <c r="BV38" s="120">
        <v>2.1982745796206302</v>
      </c>
      <c r="BW38" s="120">
        <v>2.0813940446186621</v>
      </c>
      <c r="BX38" s="120">
        <v>0.50118079986873454</v>
      </c>
      <c r="BY38" s="120">
        <v>0.20563698891847082</v>
      </c>
      <c r="BZ38" s="120">
        <v>9.7223963963017468E-2</v>
      </c>
      <c r="CA38" s="120">
        <v>-8.6513542830459755E-3</v>
      </c>
      <c r="CB38" s="120">
        <v>1.3804443850337691</v>
      </c>
      <c r="CC38" s="120">
        <v>0.69991288971316123</v>
      </c>
      <c r="CD38" s="120">
        <v>3.4802978980651886</v>
      </c>
      <c r="CE38" s="120">
        <v>3.6833210579925435</v>
      </c>
      <c r="CF38" s="120">
        <v>3.7609008993617579</v>
      </c>
      <c r="CG38" s="120">
        <v>5.6921240653240659</v>
      </c>
      <c r="CH38" s="121">
        <v>3.7927323657561658</v>
      </c>
    </row>
    <row r="39" spans="1:86" ht="14.25" x14ac:dyDescent="0.2">
      <c r="A39" s="96" t="s">
        <v>60</v>
      </c>
      <c r="B39" s="97" t="s">
        <v>61</v>
      </c>
      <c r="C39" s="122"/>
      <c r="D39" s="122"/>
      <c r="E39" s="122"/>
      <c r="F39" s="122"/>
      <c r="G39" s="123">
        <v>6.0429622248906725</v>
      </c>
      <c r="H39" s="123">
        <v>6.3258300512827788</v>
      </c>
      <c r="I39" s="123">
        <v>6.9767468772796235</v>
      </c>
      <c r="J39" s="123">
        <v>6.1348095966859972</v>
      </c>
      <c r="K39" s="123">
        <v>6.8079463448576689</v>
      </c>
      <c r="L39" s="123">
        <v>5.9840523957931566</v>
      </c>
      <c r="M39" s="123">
        <v>6.9032318586982058</v>
      </c>
      <c r="N39" s="123">
        <v>6.5197502522748749</v>
      </c>
      <c r="O39" s="123">
        <v>5.4595443244751323</v>
      </c>
      <c r="P39" s="123">
        <v>3.8624562803058637</v>
      </c>
      <c r="Q39" s="123">
        <v>3.5697439526472436</v>
      </c>
      <c r="R39" s="123">
        <v>3.6805973703848025</v>
      </c>
      <c r="S39" s="123">
        <v>2.0787143764832337</v>
      </c>
      <c r="T39" s="123">
        <v>2.4604457889341376</v>
      </c>
      <c r="U39" s="123">
        <v>1.2169061335936817</v>
      </c>
      <c r="V39" s="123">
        <v>1.164146016333035</v>
      </c>
      <c r="W39" s="123">
        <v>3.7719706768671131</v>
      </c>
      <c r="X39" s="123">
        <v>4.5531590099556354</v>
      </c>
      <c r="Y39" s="123">
        <v>5.7241495003912917</v>
      </c>
      <c r="Z39" s="123">
        <v>6.0213853320343844</v>
      </c>
      <c r="AA39" s="123">
        <v>4.5826248671163086</v>
      </c>
      <c r="AB39" s="123">
        <v>6.3157789879547721</v>
      </c>
      <c r="AC39" s="123">
        <v>5.2392775232173818</v>
      </c>
      <c r="AD39" s="123">
        <v>5.8126162158880419</v>
      </c>
      <c r="AE39" s="123">
        <v>7.3352710203532041</v>
      </c>
      <c r="AF39" s="123">
        <v>5.3434568957058559</v>
      </c>
      <c r="AG39" s="123">
        <v>5.5666066947165973</v>
      </c>
      <c r="AH39" s="123">
        <v>4.4941108548935489</v>
      </c>
      <c r="AI39" s="123">
        <v>4.5212009872589931</v>
      </c>
      <c r="AJ39" s="123">
        <v>5.3741606530504527</v>
      </c>
      <c r="AK39" s="123">
        <v>4.3011562687927096</v>
      </c>
      <c r="AL39" s="123">
        <v>4.3464982423075469</v>
      </c>
      <c r="AM39" s="123">
        <v>4.1251975495308955</v>
      </c>
      <c r="AN39" s="123">
        <v>3.7412484453804211</v>
      </c>
      <c r="AO39" s="123">
        <v>4.1930163797899667</v>
      </c>
      <c r="AP39" s="123">
        <v>4.8737058069461057</v>
      </c>
      <c r="AQ39" s="123">
        <v>3.5759889913269802</v>
      </c>
      <c r="AR39" s="123">
        <v>3.1950390480897113</v>
      </c>
      <c r="AS39" s="123">
        <v>3.8717888231347217</v>
      </c>
      <c r="AT39" s="123">
        <v>1.8597056595475152</v>
      </c>
      <c r="AU39" s="123">
        <v>2.5616367398738475</v>
      </c>
      <c r="AV39" s="123">
        <v>1.2701816534093808</v>
      </c>
      <c r="AW39" s="123">
        <v>0.77512191184776214</v>
      </c>
      <c r="AX39" s="123">
        <v>1.7550039127283128</v>
      </c>
      <c r="AY39" s="123">
        <v>0.89320573263039194</v>
      </c>
      <c r="AZ39" s="123">
        <v>2.6236853683504648</v>
      </c>
      <c r="BA39" s="123">
        <v>2.7419919139096862</v>
      </c>
      <c r="BB39" s="123">
        <v>1.9405981091280751</v>
      </c>
      <c r="BC39" s="123">
        <v>3.3622678737503975</v>
      </c>
      <c r="BD39" s="123">
        <v>3.4916275917433239</v>
      </c>
      <c r="BE39" s="123">
        <v>3.1919710747346386</v>
      </c>
      <c r="BF39" s="123">
        <v>2.9324829697087864</v>
      </c>
      <c r="BG39" s="123">
        <v>2.9213403565070166</v>
      </c>
      <c r="BH39" s="123">
        <v>3.627710104482901</v>
      </c>
      <c r="BI39" s="123">
        <v>4.3274941142361598</v>
      </c>
      <c r="BJ39" s="123">
        <v>5.2647815758675165</v>
      </c>
      <c r="BK39" s="123">
        <v>4.8499953572319328</v>
      </c>
      <c r="BL39" s="123">
        <v>-17.098680400428577</v>
      </c>
      <c r="BM39" s="123">
        <v>-8.7133250905500006</v>
      </c>
      <c r="BN39" s="123">
        <v>0.78371181665445988</v>
      </c>
      <c r="BO39" s="123">
        <v>1.858155294397875</v>
      </c>
      <c r="BP39" s="123">
        <v>25.441809688010466</v>
      </c>
      <c r="BQ39" s="123">
        <v>19.838093185113465</v>
      </c>
      <c r="BR39" s="123">
        <v>14.125436924796574</v>
      </c>
      <c r="BS39" s="123">
        <v>12.264727858975007</v>
      </c>
      <c r="BT39" s="123">
        <v>16.611147658152589</v>
      </c>
      <c r="BU39" s="123">
        <v>10.91487925714047</v>
      </c>
      <c r="BV39" s="123">
        <v>4.7103211772573417</v>
      </c>
      <c r="BW39" s="123">
        <v>2.9277544964380695</v>
      </c>
      <c r="BX39" s="123">
        <v>0.75358654878093034</v>
      </c>
      <c r="BY39" s="123">
        <v>-0.46259679506853502</v>
      </c>
      <c r="BZ39" s="123">
        <v>-0.89349399688455833</v>
      </c>
      <c r="CA39" s="123">
        <v>0.4251518383750863</v>
      </c>
      <c r="CB39" s="123">
        <v>1.1124482662302313</v>
      </c>
      <c r="CC39" s="123">
        <v>1.9382610338798116</v>
      </c>
      <c r="CD39" s="123">
        <v>2.9475149551896607</v>
      </c>
      <c r="CE39" s="123">
        <v>3.7790175695662214</v>
      </c>
      <c r="CF39" s="123">
        <v>3.6285801401263313</v>
      </c>
      <c r="CG39" s="123">
        <v>4.075889260506699</v>
      </c>
      <c r="CH39" s="124">
        <v>3.0913006111477728</v>
      </c>
    </row>
    <row r="40" spans="1:86" x14ac:dyDescent="0.2">
      <c r="A40" s="100" t="s">
        <v>62</v>
      </c>
      <c r="B40" s="101" t="s">
        <v>63</v>
      </c>
      <c r="C40" s="125"/>
      <c r="D40" s="125"/>
      <c r="E40" s="125"/>
      <c r="F40" s="125"/>
      <c r="G40" s="126">
        <v>4.5449980531530514</v>
      </c>
      <c r="H40" s="126">
        <v>1.7314849192257498</v>
      </c>
      <c r="I40" s="126">
        <v>5.1774011292561823</v>
      </c>
      <c r="J40" s="126">
        <v>7.8705366431674975</v>
      </c>
      <c r="K40" s="126">
        <v>0.72734297034153883</v>
      </c>
      <c r="L40" s="126">
        <v>2.4099262599711579</v>
      </c>
      <c r="M40" s="126">
        <v>6.3138414710181934</v>
      </c>
      <c r="N40" s="126">
        <v>7.0289130924477945</v>
      </c>
      <c r="O40" s="126">
        <v>5.9141223617262426</v>
      </c>
      <c r="P40" s="126">
        <v>9.3143882861737239</v>
      </c>
      <c r="Q40" s="126">
        <v>2.8302539158211744</v>
      </c>
      <c r="R40" s="126">
        <v>2.5419834795426368</v>
      </c>
      <c r="S40" s="126">
        <v>4.1770545330469702</v>
      </c>
      <c r="T40" s="126">
        <v>3.2559288391996546</v>
      </c>
      <c r="U40" s="126">
        <v>6.086995558497506</v>
      </c>
      <c r="V40" s="126">
        <v>5.1836957867428453</v>
      </c>
      <c r="W40" s="126">
        <v>4.9962104121317452</v>
      </c>
      <c r="X40" s="126">
        <v>5.5664961904314083</v>
      </c>
      <c r="Y40" s="126">
        <v>4.1716395267862509</v>
      </c>
      <c r="Z40" s="126">
        <v>5.8276361099440521</v>
      </c>
      <c r="AA40" s="126">
        <v>4.9194479662664179</v>
      </c>
      <c r="AB40" s="126">
        <v>7.1042798287484885</v>
      </c>
      <c r="AC40" s="126">
        <v>6.9312482274998644</v>
      </c>
      <c r="AD40" s="126">
        <v>6.6928158745030828</v>
      </c>
      <c r="AE40" s="126">
        <v>4.2281990922705006</v>
      </c>
      <c r="AF40" s="126">
        <v>4.1227130783291841</v>
      </c>
      <c r="AG40" s="126">
        <v>3.5791366438855192</v>
      </c>
      <c r="AH40" s="126">
        <v>6.3201232892504891</v>
      </c>
      <c r="AI40" s="126">
        <v>6.6135354192234104</v>
      </c>
      <c r="AJ40" s="126">
        <v>8.9881564089252919</v>
      </c>
      <c r="AK40" s="126">
        <v>9.7915403073463096</v>
      </c>
      <c r="AL40" s="126">
        <v>9.5314899143966016</v>
      </c>
      <c r="AM40" s="126">
        <v>8.7493074608117922</v>
      </c>
      <c r="AN40" s="126">
        <v>5.2178940501196109</v>
      </c>
      <c r="AO40" s="126">
        <v>3.7764346124461241</v>
      </c>
      <c r="AP40" s="126">
        <v>2.7524027318009985</v>
      </c>
      <c r="AQ40" s="126">
        <v>6.5179793769572143</v>
      </c>
      <c r="AR40" s="126">
        <v>10.44782239441389</v>
      </c>
      <c r="AS40" s="126">
        <v>13.195697087619521</v>
      </c>
      <c r="AT40" s="126">
        <v>-4.6724022521888458</v>
      </c>
      <c r="AU40" s="126">
        <v>-2.1401538502000506</v>
      </c>
      <c r="AV40" s="126">
        <v>2.4883696541795075</v>
      </c>
      <c r="AW40" s="126">
        <v>-2.9688841091473392</v>
      </c>
      <c r="AX40" s="126">
        <v>7.4013402747717123</v>
      </c>
      <c r="AY40" s="126">
        <v>2.4456562121223868</v>
      </c>
      <c r="AZ40" s="126">
        <v>3.2685285642419757</v>
      </c>
      <c r="BA40" s="126">
        <v>4.0675070694076823</v>
      </c>
      <c r="BB40" s="126">
        <v>4.2921604735331869</v>
      </c>
      <c r="BC40" s="126">
        <v>5.3249624592492495</v>
      </c>
      <c r="BD40" s="126">
        <v>7.8705464666304152</v>
      </c>
      <c r="BE40" s="126">
        <v>8.0809275225762747</v>
      </c>
      <c r="BF40" s="126">
        <v>7.6592537420510922</v>
      </c>
      <c r="BG40" s="126">
        <v>5.6659911986773608</v>
      </c>
      <c r="BH40" s="126">
        <v>6.8411304309876613</v>
      </c>
      <c r="BI40" s="126">
        <v>5.6377564984068584</v>
      </c>
      <c r="BJ40" s="126">
        <v>3.7790378178814024</v>
      </c>
      <c r="BK40" s="126">
        <v>-1.2135190860690841</v>
      </c>
      <c r="BL40" s="126">
        <v>-1.3098861307683904</v>
      </c>
      <c r="BM40" s="126">
        <v>-1.6643936103543524</v>
      </c>
      <c r="BN40" s="126">
        <v>0.48468288245713609</v>
      </c>
      <c r="BO40" s="126">
        <v>11.748620836815491</v>
      </c>
      <c r="BP40" s="126">
        <v>8.8946471458825442</v>
      </c>
      <c r="BQ40" s="126">
        <v>13.368583431343083</v>
      </c>
      <c r="BR40" s="126">
        <v>7.0013736084895157</v>
      </c>
      <c r="BS40" s="126">
        <v>7.9339252342127224</v>
      </c>
      <c r="BT40" s="126">
        <v>9.7729890743652845</v>
      </c>
      <c r="BU40" s="126">
        <v>-2.2095425982538472</v>
      </c>
      <c r="BV40" s="126">
        <v>-6.7164144817472078</v>
      </c>
      <c r="BW40" s="126">
        <v>-3.5985365195157328</v>
      </c>
      <c r="BX40" s="126">
        <v>-0.72161962720551287</v>
      </c>
      <c r="BY40" s="126">
        <v>3.6004635993295011</v>
      </c>
      <c r="BZ40" s="126">
        <v>5.2698347854897065</v>
      </c>
      <c r="CA40" s="126">
        <v>-2.0166613022719133</v>
      </c>
      <c r="CB40" s="126">
        <v>2.7621899126928753</v>
      </c>
      <c r="CC40" s="126">
        <v>-5.7027808790049619</v>
      </c>
      <c r="CD40" s="126">
        <v>5.1257129850454248</v>
      </c>
      <c r="CE40" s="126">
        <v>3.7737859009983339</v>
      </c>
      <c r="CF40" s="126">
        <v>4.3461897637215685</v>
      </c>
      <c r="CG40" s="126">
        <v>15.03076662428056</v>
      </c>
      <c r="CH40" s="127">
        <v>5.9480188142642305</v>
      </c>
    </row>
    <row r="41" spans="1:86" s="38" customFormat="1" x14ac:dyDescent="0.2">
      <c r="A41" s="104" t="s">
        <v>64</v>
      </c>
      <c r="B41" s="105" t="s">
        <v>65</v>
      </c>
      <c r="C41" s="110"/>
      <c r="D41" s="110"/>
      <c r="E41" s="110"/>
      <c r="F41" s="110"/>
      <c r="G41" s="117">
        <v>19.907411450577015</v>
      </c>
      <c r="H41" s="117">
        <v>13.89080279511515</v>
      </c>
      <c r="I41" s="117">
        <v>29.587626086754284</v>
      </c>
      <c r="J41" s="117">
        <v>5.4651219992577325</v>
      </c>
      <c r="K41" s="117">
        <v>21.78896082446559</v>
      </c>
      <c r="L41" s="117">
        <v>19.779239211123055</v>
      </c>
      <c r="M41" s="117">
        <v>11.381899840399456</v>
      </c>
      <c r="N41" s="117">
        <v>10.857387263844103</v>
      </c>
      <c r="O41" s="117">
        <v>8.7137963777181255</v>
      </c>
      <c r="P41" s="117">
        <v>6.08407054482538</v>
      </c>
      <c r="Q41" s="117">
        <v>10.628437277219675</v>
      </c>
      <c r="R41" s="117">
        <v>11.338558822723414</v>
      </c>
      <c r="S41" s="117">
        <v>-2.6238016024692854</v>
      </c>
      <c r="T41" s="117">
        <v>-4.3992111552162356</v>
      </c>
      <c r="U41" s="117">
        <v>-8.9217717777491714</v>
      </c>
      <c r="V41" s="117">
        <v>-9.1122132571548917</v>
      </c>
      <c r="W41" s="117">
        <v>3.6104793992338386</v>
      </c>
      <c r="X41" s="117">
        <v>10.780210103791205</v>
      </c>
      <c r="Y41" s="117">
        <v>9.804114312472791</v>
      </c>
      <c r="Z41" s="117">
        <v>14.174095215770038</v>
      </c>
      <c r="AA41" s="117">
        <v>19.501491195810999</v>
      </c>
      <c r="AB41" s="117">
        <v>17.015891767763989</v>
      </c>
      <c r="AC41" s="117">
        <v>22.59388716095701</v>
      </c>
      <c r="AD41" s="117">
        <v>14.694079595404276</v>
      </c>
      <c r="AE41" s="117">
        <v>8.2135443255526326</v>
      </c>
      <c r="AF41" s="117">
        <v>9.9344168325517899</v>
      </c>
      <c r="AG41" s="117">
        <v>-2.7285613754455511</v>
      </c>
      <c r="AH41" s="117">
        <v>-4.3474164824901038</v>
      </c>
      <c r="AI41" s="117">
        <v>3.0397050084558117</v>
      </c>
      <c r="AJ41" s="117">
        <v>5.071948277160061</v>
      </c>
      <c r="AK41" s="117">
        <v>16.104904822177616</v>
      </c>
      <c r="AL41" s="117">
        <v>6.8470160895274432</v>
      </c>
      <c r="AM41" s="117">
        <v>15.240720773411766</v>
      </c>
      <c r="AN41" s="117">
        <v>9.7470961065655217</v>
      </c>
      <c r="AO41" s="117">
        <v>6.3745591519493274</v>
      </c>
      <c r="AP41" s="117">
        <v>18.911256197073882</v>
      </c>
      <c r="AQ41" s="117">
        <v>1.7803084963958327E-2</v>
      </c>
      <c r="AR41" s="117">
        <v>-6.4921649791055387</v>
      </c>
      <c r="AS41" s="117">
        <v>2.9650432969094993</v>
      </c>
      <c r="AT41" s="117">
        <v>-0.53116022535513707</v>
      </c>
      <c r="AU41" s="117">
        <v>8.5121290289595919</v>
      </c>
      <c r="AV41" s="117">
        <v>-1.9335127140446957</v>
      </c>
      <c r="AW41" s="117">
        <v>1.3408833420458564</v>
      </c>
      <c r="AX41" s="117">
        <v>-9.3058813562541474</v>
      </c>
      <c r="AY41" s="117">
        <v>0.7106181445000459</v>
      </c>
      <c r="AZ41" s="117">
        <v>-3.5800977121869408</v>
      </c>
      <c r="BA41" s="117">
        <v>-3.713986051491375</v>
      </c>
      <c r="BB41" s="117">
        <v>-7.1962083478442622</v>
      </c>
      <c r="BC41" s="117">
        <v>-4.8673684642935484</v>
      </c>
      <c r="BD41" s="117">
        <v>0.99703677239257615</v>
      </c>
      <c r="BE41" s="117">
        <v>1.8869011830659161</v>
      </c>
      <c r="BF41" s="117">
        <v>10.599391626494324</v>
      </c>
      <c r="BG41" s="117">
        <v>8.940020560456972</v>
      </c>
      <c r="BH41" s="117">
        <v>2.0900673892484889</v>
      </c>
      <c r="BI41" s="117">
        <v>5.4032565762773004</v>
      </c>
      <c r="BJ41" s="117">
        <v>-6.5018697962910892</v>
      </c>
      <c r="BK41" s="117">
        <v>-10.84365354363608</v>
      </c>
      <c r="BL41" s="117">
        <v>-32.056872829806338</v>
      </c>
      <c r="BM41" s="117">
        <v>-17.589857111939494</v>
      </c>
      <c r="BN41" s="117">
        <v>-23.826089185917823</v>
      </c>
      <c r="BO41" s="117">
        <v>-3.9821698373121706</v>
      </c>
      <c r="BP41" s="117">
        <v>33.120978555092734</v>
      </c>
      <c r="BQ41" s="117">
        <v>8.6853888203952465</v>
      </c>
      <c r="BR41" s="117">
        <v>15.926464417199242</v>
      </c>
      <c r="BS41" s="117">
        <v>18.330376927221465</v>
      </c>
      <c r="BT41" s="117">
        <v>7.0167069608753678</v>
      </c>
      <c r="BU41" s="117">
        <v>16.520269762507709</v>
      </c>
      <c r="BV41" s="117">
        <v>24.687228444182054</v>
      </c>
      <c r="BW41" s="117">
        <v>-0.40017525248828179</v>
      </c>
      <c r="BX41" s="117">
        <v>-13.381294920947056</v>
      </c>
      <c r="BY41" s="117">
        <v>-26.611660445831106</v>
      </c>
      <c r="BZ41" s="117">
        <v>-24.689187354385666</v>
      </c>
      <c r="CA41" s="117">
        <v>-11.681392167171538</v>
      </c>
      <c r="CB41" s="117">
        <v>1.8985483101032798</v>
      </c>
      <c r="CC41" s="117">
        <v>18.535906265956697</v>
      </c>
      <c r="CD41" s="117">
        <v>4.7375497734670802</v>
      </c>
      <c r="CE41" s="117">
        <v>7.8995244945611773</v>
      </c>
      <c r="CF41" s="117">
        <v>5.1116156017453847</v>
      </c>
      <c r="CG41" s="117">
        <v>1.4315332560801437</v>
      </c>
      <c r="CH41" s="118">
        <v>-9.3005386126274487</v>
      </c>
    </row>
    <row r="42" spans="1:86" x14ac:dyDescent="0.2">
      <c r="A42" s="100" t="s">
        <v>66</v>
      </c>
      <c r="B42" s="101" t="s">
        <v>67</v>
      </c>
      <c r="C42" s="125"/>
      <c r="D42" s="125"/>
      <c r="E42" s="125"/>
      <c r="F42" s="125"/>
      <c r="G42" s="126">
        <v>11.638125618368505</v>
      </c>
      <c r="H42" s="126">
        <v>14.748163411805066</v>
      </c>
      <c r="I42" s="126">
        <v>26.140940675999417</v>
      </c>
      <c r="J42" s="126">
        <v>21.023287396430689</v>
      </c>
      <c r="K42" s="126">
        <v>28.932454974341084</v>
      </c>
      <c r="L42" s="126">
        <v>28.433558537353946</v>
      </c>
      <c r="M42" s="126">
        <v>19.05720204173042</v>
      </c>
      <c r="N42" s="126">
        <v>8.8443674034628827</v>
      </c>
      <c r="O42" s="126">
        <v>-9.6931927231334214</v>
      </c>
      <c r="P42" s="126">
        <v>2.7818275785222824</v>
      </c>
      <c r="Q42" s="126">
        <v>-2.6007473688612635</v>
      </c>
      <c r="R42" s="126">
        <v>-2.1251408837737955</v>
      </c>
      <c r="S42" s="126">
        <v>7.0507811858745413</v>
      </c>
      <c r="T42" s="126">
        <v>2.1594282681381713</v>
      </c>
      <c r="U42" s="126">
        <v>6.4961246008743245</v>
      </c>
      <c r="V42" s="126">
        <v>2.8864962667894076</v>
      </c>
      <c r="W42" s="126">
        <v>-0.49944204980536711</v>
      </c>
      <c r="X42" s="126">
        <v>10.047557062662932</v>
      </c>
      <c r="Y42" s="126">
        <v>4.2571186121575835</v>
      </c>
      <c r="Z42" s="126">
        <v>12.593785447250184</v>
      </c>
      <c r="AA42" s="126">
        <v>18.105952620820204</v>
      </c>
      <c r="AB42" s="126">
        <v>8.6809063824718038</v>
      </c>
      <c r="AC42" s="126">
        <v>15.50487008113879</v>
      </c>
      <c r="AD42" s="126">
        <v>8.7058351235553886</v>
      </c>
      <c r="AE42" s="126">
        <v>4.6177297161068509</v>
      </c>
      <c r="AF42" s="126">
        <v>7.8145049243805147</v>
      </c>
      <c r="AG42" s="126">
        <v>2.008576801256595</v>
      </c>
      <c r="AH42" s="126">
        <v>-0.15927808131344534</v>
      </c>
      <c r="AI42" s="126">
        <v>9.7302992893339564</v>
      </c>
      <c r="AJ42" s="126">
        <v>6.6627221668177299</v>
      </c>
      <c r="AK42" s="126">
        <v>4.1251762597847659</v>
      </c>
      <c r="AL42" s="126">
        <v>13.145746045467249</v>
      </c>
      <c r="AM42" s="126">
        <v>11.963956061316622</v>
      </c>
      <c r="AN42" s="126">
        <v>8.0234663546483631</v>
      </c>
      <c r="AO42" s="126">
        <v>14.146227780498123</v>
      </c>
      <c r="AP42" s="126">
        <v>4.1921325849642699</v>
      </c>
      <c r="AQ42" s="126">
        <v>4.8640858377319915</v>
      </c>
      <c r="AR42" s="126">
        <v>6.2512073485912651</v>
      </c>
      <c r="AS42" s="126">
        <v>3.7062873486573693</v>
      </c>
      <c r="AT42" s="126">
        <v>-2.6191869001412726</v>
      </c>
      <c r="AU42" s="126">
        <v>-5.6511658056922727</v>
      </c>
      <c r="AV42" s="126">
        <v>-2.9672425596459391</v>
      </c>
      <c r="AW42" s="126">
        <v>-6.5893471543642619</v>
      </c>
      <c r="AX42" s="126">
        <v>3.0045974252696368</v>
      </c>
      <c r="AY42" s="126">
        <v>4.9865981598262721</v>
      </c>
      <c r="AZ42" s="126">
        <v>-1.3374667004521825</v>
      </c>
      <c r="BA42" s="126">
        <v>5.1796622441785161</v>
      </c>
      <c r="BB42" s="126">
        <v>-0.47643571831711995</v>
      </c>
      <c r="BC42" s="126">
        <v>-2.6650221081260668</v>
      </c>
      <c r="BD42" s="126">
        <v>4.0270184227830299</v>
      </c>
      <c r="BE42" s="126">
        <v>1.1585357225756923</v>
      </c>
      <c r="BF42" s="126">
        <v>1.1240538558657391</v>
      </c>
      <c r="BG42" s="126">
        <v>13.219209300904396</v>
      </c>
      <c r="BH42" s="126">
        <v>0.99928147410149393</v>
      </c>
      <c r="BI42" s="126">
        <v>1.5197704976473148</v>
      </c>
      <c r="BJ42" s="126">
        <v>-4.2518817878069086</v>
      </c>
      <c r="BK42" s="126">
        <v>-10.98230439836415</v>
      </c>
      <c r="BL42" s="126">
        <v>-43.312101624836075</v>
      </c>
      <c r="BM42" s="126">
        <v>-25.568458777459497</v>
      </c>
      <c r="BN42" s="126">
        <v>-13.658449378785704</v>
      </c>
      <c r="BO42" s="126">
        <v>5.0135957215592839</v>
      </c>
      <c r="BP42" s="126">
        <v>42.01222633417504</v>
      </c>
      <c r="BQ42" s="126">
        <v>14.384760885298363</v>
      </c>
      <c r="BR42" s="126">
        <v>13.086669235068584</v>
      </c>
      <c r="BS42" s="126">
        <v>13.411499808997689</v>
      </c>
      <c r="BT42" s="126">
        <v>10.800144204045424</v>
      </c>
      <c r="BU42" s="126">
        <v>13.618623163524219</v>
      </c>
      <c r="BV42" s="126">
        <v>8.6092426613157329</v>
      </c>
      <c r="BW42" s="126">
        <v>-5.1317244436884835</v>
      </c>
      <c r="BX42" s="126">
        <v>-12.832445570208947</v>
      </c>
      <c r="BY42" s="126">
        <v>-15.836473925516401</v>
      </c>
      <c r="BZ42" s="126">
        <v>-16.965936179829384</v>
      </c>
      <c r="CA42" s="126">
        <v>-9.8709690829694807</v>
      </c>
      <c r="CB42" s="126">
        <v>0.27607244822442567</v>
      </c>
      <c r="CC42" s="126">
        <v>2.3898197189639916</v>
      </c>
      <c r="CD42" s="126">
        <v>10.214438937971252</v>
      </c>
      <c r="CE42" s="126">
        <v>1.9355908036847751</v>
      </c>
      <c r="CF42" s="126">
        <v>2.1206071645526947</v>
      </c>
      <c r="CG42" s="126">
        <v>5.0493172900666394</v>
      </c>
      <c r="CH42" s="127">
        <v>-2.9124161661459027</v>
      </c>
    </row>
    <row r="43" spans="1:86" s="38" customFormat="1" x14ac:dyDescent="0.2">
      <c r="A43" s="104" t="s">
        <v>68</v>
      </c>
      <c r="B43" s="105" t="s">
        <v>69</v>
      </c>
      <c r="C43" s="110"/>
      <c r="D43" s="110"/>
      <c r="E43" s="110"/>
      <c r="F43" s="110"/>
      <c r="G43" s="117">
        <v>12.63505758076758</v>
      </c>
      <c r="H43" s="117">
        <v>5.7412728255872452</v>
      </c>
      <c r="I43" s="117">
        <v>7.7174400874691713</v>
      </c>
      <c r="J43" s="117">
        <v>12.280994956588557</v>
      </c>
      <c r="K43" s="117">
        <v>1.8455467295167836</v>
      </c>
      <c r="L43" s="117">
        <v>1.1140816112692846</v>
      </c>
      <c r="M43" s="117">
        <v>8.3196774245951133</v>
      </c>
      <c r="N43" s="117">
        <v>12.647008591130572</v>
      </c>
      <c r="O43" s="117">
        <v>13.790024211564685</v>
      </c>
      <c r="P43" s="117">
        <v>12.166458614381199</v>
      </c>
      <c r="Q43" s="117">
        <v>-6.6155601633468564E-2</v>
      </c>
      <c r="R43" s="117">
        <v>-13.487611022113825</v>
      </c>
      <c r="S43" s="117">
        <v>-5.719515337211206</v>
      </c>
      <c r="T43" s="117">
        <v>-10.290687233908599</v>
      </c>
      <c r="U43" s="117">
        <v>-7.2403875170099354</v>
      </c>
      <c r="V43" s="117">
        <v>2.8622936839439461</v>
      </c>
      <c r="W43" s="117">
        <v>-0.85194649618868823</v>
      </c>
      <c r="X43" s="117">
        <v>4.7797280246852978</v>
      </c>
      <c r="Y43" s="117">
        <v>1.8610251740466452</v>
      </c>
      <c r="Z43" s="117">
        <v>2.478807189417239</v>
      </c>
      <c r="AA43" s="117">
        <v>13.341329782054373</v>
      </c>
      <c r="AB43" s="117">
        <v>11.468626850799353</v>
      </c>
      <c r="AC43" s="117">
        <v>11.818491015621419</v>
      </c>
      <c r="AD43" s="117">
        <v>12.434317170801236</v>
      </c>
      <c r="AE43" s="117">
        <v>8.5439493808797522</v>
      </c>
      <c r="AF43" s="117">
        <v>2.2484947610372075</v>
      </c>
      <c r="AG43" s="117">
        <v>6.5568216887026693</v>
      </c>
      <c r="AH43" s="117">
        <v>0.86645855817357642</v>
      </c>
      <c r="AI43" s="117">
        <v>-2.9367238594743412</v>
      </c>
      <c r="AJ43" s="117">
        <v>8.7209896744404887</v>
      </c>
      <c r="AK43" s="117">
        <v>0.9591099750220593</v>
      </c>
      <c r="AL43" s="117">
        <v>12.040570627058415</v>
      </c>
      <c r="AM43" s="117">
        <v>5.5613578583744356</v>
      </c>
      <c r="AN43" s="117">
        <v>-2.8807680823181414</v>
      </c>
      <c r="AO43" s="117">
        <v>2.9827536166988864</v>
      </c>
      <c r="AP43" s="117">
        <v>-5.8300829051697036</v>
      </c>
      <c r="AQ43" s="117">
        <v>0.27169252456641857</v>
      </c>
      <c r="AR43" s="117">
        <v>6.2440101381834268</v>
      </c>
      <c r="AS43" s="117">
        <v>-2.9196589404201063</v>
      </c>
      <c r="AT43" s="117">
        <v>3.1118314644165395</v>
      </c>
      <c r="AU43" s="117">
        <v>-1.6914923142269345</v>
      </c>
      <c r="AV43" s="117">
        <v>-4.5391141682637084</v>
      </c>
      <c r="AW43" s="117">
        <v>1.038367046338081</v>
      </c>
      <c r="AX43" s="117">
        <v>4.2651220275502766</v>
      </c>
      <c r="AY43" s="117">
        <v>3.1293425823906773</v>
      </c>
      <c r="AZ43" s="117">
        <v>3.1233455210516752</v>
      </c>
      <c r="BA43" s="117">
        <v>3.7964749840358536</v>
      </c>
      <c r="BB43" s="117">
        <v>0.48264673404499092</v>
      </c>
      <c r="BC43" s="117">
        <v>-2.3173910976528589</v>
      </c>
      <c r="BD43" s="117">
        <v>-0.16445695432125262</v>
      </c>
      <c r="BE43" s="117">
        <v>1.5593776457458262</v>
      </c>
      <c r="BF43" s="117">
        <v>3.2054135988077093</v>
      </c>
      <c r="BG43" s="117">
        <v>6.9106479949973618</v>
      </c>
      <c r="BH43" s="117">
        <v>6.6914615480428097</v>
      </c>
      <c r="BI43" s="117">
        <v>2.5954621622545915</v>
      </c>
      <c r="BJ43" s="117">
        <v>-2.9496276084862387</v>
      </c>
      <c r="BK43" s="117">
        <v>-7.0847091192592728</v>
      </c>
      <c r="BL43" s="117">
        <v>-31.30416334573934</v>
      </c>
      <c r="BM43" s="117">
        <v>-28.090645850967036</v>
      </c>
      <c r="BN43" s="117">
        <v>-22.829429685775466</v>
      </c>
      <c r="BO43" s="117">
        <v>-10.127756750301259</v>
      </c>
      <c r="BP43" s="117">
        <v>13.905587596701835</v>
      </c>
      <c r="BQ43" s="117">
        <v>26.271954531235536</v>
      </c>
      <c r="BR43" s="117">
        <v>32.859471239235035</v>
      </c>
      <c r="BS43" s="117">
        <v>17.012063733032505</v>
      </c>
      <c r="BT43" s="117">
        <v>24.899254465304281</v>
      </c>
      <c r="BU43" s="117">
        <v>14.012804077202816</v>
      </c>
      <c r="BV43" s="117">
        <v>-1.6424857528540571</v>
      </c>
      <c r="BW43" s="117">
        <v>3.2341177376706867</v>
      </c>
      <c r="BX43" s="117">
        <v>1.5758432490527383</v>
      </c>
      <c r="BY43" s="117">
        <v>0.42322525714683934</v>
      </c>
      <c r="BZ43" s="117">
        <v>7.1177478098190932</v>
      </c>
      <c r="CA43" s="117">
        <v>-0.23239467360048138</v>
      </c>
      <c r="CB43" s="117">
        <v>0.35774421267538514</v>
      </c>
      <c r="CC43" s="117">
        <v>-0.95983498325230698</v>
      </c>
      <c r="CD43" s="117">
        <v>2.215195976883038</v>
      </c>
      <c r="CE43" s="117">
        <v>3.2580409868050708</v>
      </c>
      <c r="CF43" s="117">
        <v>0.36385094534871598</v>
      </c>
      <c r="CG43" s="117">
        <v>2.702138485610206</v>
      </c>
      <c r="CH43" s="118">
        <v>1.1696488065813497</v>
      </c>
    </row>
    <row r="44" spans="1:86" x14ac:dyDescent="0.2">
      <c r="A44" s="92" t="s">
        <v>70</v>
      </c>
      <c r="B44" s="93" t="s">
        <v>71</v>
      </c>
      <c r="C44" s="119"/>
      <c r="D44" s="119"/>
      <c r="E44" s="119"/>
      <c r="F44" s="119"/>
      <c r="G44" s="120">
        <v>15.423618570917967</v>
      </c>
      <c r="H44" s="120">
        <v>17.374908247221057</v>
      </c>
      <c r="I44" s="120">
        <v>21.533026064843483</v>
      </c>
      <c r="J44" s="120">
        <v>16.125604322577544</v>
      </c>
      <c r="K44" s="120">
        <v>15.765295533200458</v>
      </c>
      <c r="L44" s="120">
        <v>10.744651502303753</v>
      </c>
      <c r="M44" s="120">
        <v>12.655355504737457</v>
      </c>
      <c r="N44" s="120">
        <v>16.3377879664895</v>
      </c>
      <c r="O44" s="120">
        <v>16.970581031818853</v>
      </c>
      <c r="P44" s="120">
        <v>11.08514691202241</v>
      </c>
      <c r="Q44" s="120">
        <v>9.515046762085305</v>
      </c>
      <c r="R44" s="120">
        <v>13.096614779842966</v>
      </c>
      <c r="S44" s="120">
        <v>0.2671970833480799</v>
      </c>
      <c r="T44" s="120">
        <v>-8.0668454843394386</v>
      </c>
      <c r="U44" s="120">
        <v>-12.646838091701071</v>
      </c>
      <c r="V44" s="120">
        <v>-12.658222312340257</v>
      </c>
      <c r="W44" s="120">
        <v>-0.2576718849800983</v>
      </c>
      <c r="X44" s="120">
        <v>13.036553162050211</v>
      </c>
      <c r="Y44" s="120">
        <v>15.873348984519581</v>
      </c>
      <c r="Z44" s="120">
        <v>14.521471758060329</v>
      </c>
      <c r="AA44" s="120">
        <v>19.214571030108687</v>
      </c>
      <c r="AB44" s="120">
        <v>22.514384243873138</v>
      </c>
      <c r="AC44" s="120">
        <v>19.880076555599246</v>
      </c>
      <c r="AD44" s="120">
        <v>19.379898000601912</v>
      </c>
      <c r="AE44" s="120">
        <v>14.615698079482314</v>
      </c>
      <c r="AF44" s="120">
        <v>9.6863119507571724</v>
      </c>
      <c r="AG44" s="120">
        <v>10.257666063208788</v>
      </c>
      <c r="AH44" s="120">
        <v>4.0421412134081294</v>
      </c>
      <c r="AI44" s="120">
        <v>6.740081194343972</v>
      </c>
      <c r="AJ44" s="120">
        <v>9.7237858451030519</v>
      </c>
      <c r="AK44" s="120">
        <v>8.4527506992843939</v>
      </c>
      <c r="AL44" s="120">
        <v>9.0477989228477327</v>
      </c>
      <c r="AM44" s="120">
        <v>8.4607985248679682</v>
      </c>
      <c r="AN44" s="120">
        <v>7.0867459610167032</v>
      </c>
      <c r="AO44" s="120">
        <v>4.5093020783812534</v>
      </c>
      <c r="AP44" s="120">
        <v>10.995014891069729</v>
      </c>
      <c r="AQ44" s="120">
        <v>1.5171606121202217</v>
      </c>
      <c r="AR44" s="120">
        <v>-3.1495544786898222</v>
      </c>
      <c r="AS44" s="120">
        <v>4.1361555122805953</v>
      </c>
      <c r="AT44" s="120">
        <v>-6.2375909821774371</v>
      </c>
      <c r="AU44" s="120">
        <v>-2.1369694220816342</v>
      </c>
      <c r="AV44" s="120">
        <v>-1.6621209063213769</v>
      </c>
      <c r="AW44" s="120">
        <v>-8.5545288475766625</v>
      </c>
      <c r="AX44" s="120">
        <v>-1.4422022198067026</v>
      </c>
      <c r="AY44" s="120">
        <v>2.4592548703409705</v>
      </c>
      <c r="AZ44" s="120">
        <v>2.5635395041650781</v>
      </c>
      <c r="BA44" s="120">
        <v>1.4867635335151164</v>
      </c>
      <c r="BB44" s="120">
        <v>-2.2044098482295453</v>
      </c>
      <c r="BC44" s="120">
        <v>-1.3976376030697395</v>
      </c>
      <c r="BD44" s="120">
        <v>4.5727963361398736</v>
      </c>
      <c r="BE44" s="120">
        <v>5.0400832536582101</v>
      </c>
      <c r="BF44" s="120">
        <v>14.684101088921537</v>
      </c>
      <c r="BG44" s="120">
        <v>11.885350293532099</v>
      </c>
      <c r="BH44" s="120">
        <v>9.1360001366570458</v>
      </c>
      <c r="BI44" s="120">
        <v>10.964671681049438</v>
      </c>
      <c r="BJ44" s="120">
        <v>-1.3061195073363905</v>
      </c>
      <c r="BK44" s="120">
        <v>-4.3160674068780907</v>
      </c>
      <c r="BL44" s="120">
        <v>-33.601695153367061</v>
      </c>
      <c r="BM44" s="120">
        <v>-25.59455595212431</v>
      </c>
      <c r="BN44" s="120">
        <v>-15.699930412876824</v>
      </c>
      <c r="BO44" s="120">
        <v>-5.2312769217248416</v>
      </c>
      <c r="BP44" s="120">
        <v>45.927751422431328</v>
      </c>
      <c r="BQ44" s="120">
        <v>39.579106980866499</v>
      </c>
      <c r="BR44" s="120">
        <v>33.888630526737018</v>
      </c>
      <c r="BS44" s="120">
        <v>38.833649612532554</v>
      </c>
      <c r="BT44" s="120">
        <v>25.663435043320092</v>
      </c>
      <c r="BU44" s="120">
        <v>23.858792787142022</v>
      </c>
      <c r="BV44" s="120">
        <v>11.594393777778848</v>
      </c>
      <c r="BW44" s="120">
        <v>-1.6411993645822633</v>
      </c>
      <c r="BX44" s="120">
        <v>-8.0114413141952383</v>
      </c>
      <c r="BY44" s="120">
        <v>-18.354831979658684</v>
      </c>
      <c r="BZ44" s="120">
        <v>-11.112624691042356</v>
      </c>
      <c r="CA44" s="120">
        <v>-11.094991418218441</v>
      </c>
      <c r="CB44" s="120">
        <v>0.36425260898423062</v>
      </c>
      <c r="CC44" s="120">
        <v>8.446165513709218</v>
      </c>
      <c r="CD44" s="120">
        <v>7.6334033398696164</v>
      </c>
      <c r="CE44" s="120">
        <v>12.690599525127894</v>
      </c>
      <c r="CF44" s="120">
        <v>10.423648510334218</v>
      </c>
      <c r="CG44" s="120">
        <v>9.9462239658205931</v>
      </c>
      <c r="CH44" s="121">
        <v>1.4342069948036738</v>
      </c>
    </row>
    <row r="45" spans="1:86" x14ac:dyDescent="0.2">
      <c r="A45" s="106" t="s">
        <v>42</v>
      </c>
      <c r="B45" s="107" t="s">
        <v>46</v>
      </c>
      <c r="C45" s="128"/>
      <c r="D45" s="128"/>
      <c r="E45" s="128"/>
      <c r="F45" s="128"/>
      <c r="G45" s="129">
        <v>6.3755741455926511</v>
      </c>
      <c r="H45" s="129">
        <v>5.3230390498123938</v>
      </c>
      <c r="I45" s="129">
        <v>7.6542650103254743</v>
      </c>
      <c r="J45" s="129">
        <v>7.4020784320535853</v>
      </c>
      <c r="K45" s="129">
        <v>6.7128663746102148</v>
      </c>
      <c r="L45" s="129">
        <v>6.8613055041010682</v>
      </c>
      <c r="M45" s="129">
        <v>6.8544720818307638</v>
      </c>
      <c r="N45" s="129">
        <v>6.5425803059048491</v>
      </c>
      <c r="O45" s="129">
        <v>5.1743786969130383</v>
      </c>
      <c r="P45" s="129">
        <v>4.7853125708882942</v>
      </c>
      <c r="Q45" s="129">
        <v>3.3195886444682401</v>
      </c>
      <c r="R45" s="129">
        <v>0.27975741740149829</v>
      </c>
      <c r="S45" s="129">
        <v>0.14508701496795595</v>
      </c>
      <c r="T45" s="129">
        <v>0.69535102684091044</v>
      </c>
      <c r="U45" s="129">
        <v>0.5323647300171217</v>
      </c>
      <c r="V45" s="129">
        <v>3.0391960253996331</v>
      </c>
      <c r="W45" s="129">
        <v>3.8803501804015781</v>
      </c>
      <c r="X45" s="129">
        <v>4.6245493552704318</v>
      </c>
      <c r="Y45" s="129">
        <v>4.0474546445724116</v>
      </c>
      <c r="Z45" s="129">
        <v>5.3385254044385135</v>
      </c>
      <c r="AA45" s="129">
        <v>6.7991976972209329</v>
      </c>
      <c r="AB45" s="129">
        <v>6.7825904663660879</v>
      </c>
      <c r="AC45" s="129">
        <v>7.9182778431672602</v>
      </c>
      <c r="AD45" s="129">
        <v>6.3253582607035668</v>
      </c>
      <c r="AE45" s="129">
        <v>6.135156113255988</v>
      </c>
      <c r="AF45" s="129">
        <v>4.8460369739956661</v>
      </c>
      <c r="AG45" s="129">
        <v>2.2472410109099172</v>
      </c>
      <c r="AH45" s="129">
        <v>2.6962516472260631</v>
      </c>
      <c r="AI45" s="129">
        <v>2.3818401066837254</v>
      </c>
      <c r="AJ45" s="129">
        <v>5.3733023972656326</v>
      </c>
      <c r="AK45" s="129">
        <v>6.2485426277500125</v>
      </c>
      <c r="AL45" s="129">
        <v>6.3506629279461322</v>
      </c>
      <c r="AM45" s="129">
        <v>6.6000142839710776</v>
      </c>
      <c r="AN45" s="129">
        <v>3.4253216278082164</v>
      </c>
      <c r="AO45" s="129">
        <v>4.3859521764861427</v>
      </c>
      <c r="AP45" s="129">
        <v>3.7632113433477201</v>
      </c>
      <c r="AQ45" s="129">
        <v>2.828076886173946</v>
      </c>
      <c r="AR45" s="129">
        <v>3.4223327835345714</v>
      </c>
      <c r="AS45" s="129">
        <v>3.5756298307939574</v>
      </c>
      <c r="AT45" s="129">
        <v>2.0599500204304206</v>
      </c>
      <c r="AU45" s="129">
        <v>2.3747843586882027</v>
      </c>
      <c r="AV45" s="129">
        <v>2.1220984991595628</v>
      </c>
      <c r="AW45" s="129">
        <v>1.5566086517763438</v>
      </c>
      <c r="AX45" s="129">
        <v>2.3047005674698084</v>
      </c>
      <c r="AY45" s="129">
        <v>1.0694631972319826</v>
      </c>
      <c r="AZ45" s="129">
        <v>1.2698275694354066</v>
      </c>
      <c r="BA45" s="129">
        <v>1.6900414219209239</v>
      </c>
      <c r="BB45" s="129">
        <v>1.3887830905161138</v>
      </c>
      <c r="BC45" s="129">
        <v>1.6492417488619253</v>
      </c>
      <c r="BD45" s="129">
        <v>2.7484906327465808</v>
      </c>
      <c r="BE45" s="129">
        <v>2.8808027902824023</v>
      </c>
      <c r="BF45" s="129">
        <v>2.9137462071450813</v>
      </c>
      <c r="BG45" s="129">
        <v>3.4755274143507364</v>
      </c>
      <c r="BH45" s="129">
        <v>3.0750980391542697</v>
      </c>
      <c r="BI45" s="129">
        <v>3.1269436421785173</v>
      </c>
      <c r="BJ45" s="129">
        <v>3.0910783324639084</v>
      </c>
      <c r="BK45" s="129">
        <v>0.34608976169481309</v>
      </c>
      <c r="BL45" s="129">
        <v>-16.711006681806069</v>
      </c>
      <c r="BM45" s="129">
        <v>-9.0802619617547009</v>
      </c>
      <c r="BN45" s="129">
        <v>-3.3098451514189833</v>
      </c>
      <c r="BO45" s="129">
        <v>1.4997003938947273</v>
      </c>
      <c r="BP45" s="129">
        <v>18.422283680751164</v>
      </c>
      <c r="BQ45" s="129">
        <v>13.323881690290023</v>
      </c>
      <c r="BR45" s="129">
        <v>11.081377613613384</v>
      </c>
      <c r="BS45" s="129">
        <v>8.1051367162309589</v>
      </c>
      <c r="BT45" s="129">
        <v>12.386056909535085</v>
      </c>
      <c r="BU45" s="129">
        <v>7.4010353147935035</v>
      </c>
      <c r="BV45" s="129">
        <v>2.330790474303825</v>
      </c>
      <c r="BW45" s="129">
        <v>2.8075118927961569</v>
      </c>
      <c r="BX45" s="129">
        <v>0.40576595443431529</v>
      </c>
      <c r="BY45" s="129">
        <v>-0.44678468326799248</v>
      </c>
      <c r="BZ45" s="129">
        <v>0.73162985707475059</v>
      </c>
      <c r="CA45" s="129">
        <v>0.31878092683700743</v>
      </c>
      <c r="CB45" s="129">
        <v>1.5997578512279489</v>
      </c>
      <c r="CC45" s="129">
        <v>1.6057210478165302</v>
      </c>
      <c r="CD45" s="129">
        <v>2.3560545451554447</v>
      </c>
      <c r="CE45" s="129">
        <v>2.5930290378729524</v>
      </c>
      <c r="CF45" s="129">
        <v>2.1174491221797496</v>
      </c>
      <c r="CG45" s="129">
        <v>3.5978601551707357</v>
      </c>
      <c r="CH45" s="130">
        <v>2.2680951451834943</v>
      </c>
    </row>
    <row r="46" spans="1:86" x14ac:dyDescent="0.2">
      <c r="F46" s="78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BJ46" s="131"/>
      <c r="BK46" s="131"/>
      <c r="BL46" s="131"/>
      <c r="BM46" s="131"/>
      <c r="BN46" s="131"/>
      <c r="BO46" s="131"/>
      <c r="BP46" s="131"/>
      <c r="BQ46" s="131"/>
      <c r="BR46" s="131"/>
      <c r="BS46" s="131"/>
      <c r="BT46" s="131"/>
      <c r="BU46" s="131"/>
    </row>
    <row r="47" spans="1:86" ht="12" customHeight="1" x14ac:dyDescent="0.2">
      <c r="A47" s="111" t="s">
        <v>72</v>
      </c>
      <c r="B47" s="47"/>
      <c r="C47" s="17"/>
      <c r="D47" s="132"/>
      <c r="E47" s="17"/>
      <c r="F47" s="133"/>
      <c r="G47" s="48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</row>
    <row r="48" spans="1:86" ht="12" customHeight="1" x14ac:dyDescent="0.2">
      <c r="A48" s="113" t="s">
        <v>48</v>
      </c>
      <c r="B48" s="50"/>
      <c r="F48" s="78"/>
      <c r="G48" s="51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</row>
    <row r="49" spans="1:86" ht="12" customHeight="1" x14ac:dyDescent="0.2">
      <c r="A49" s="113" t="s">
        <v>49</v>
      </c>
      <c r="B49" s="50"/>
      <c r="F49" s="78"/>
      <c r="G49" s="51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</row>
    <row r="50" spans="1:86" ht="12" customHeight="1" x14ac:dyDescent="0.2">
      <c r="A50" s="113" t="s">
        <v>73</v>
      </c>
      <c r="B50" s="50"/>
      <c r="F50" s="78"/>
      <c r="G50" s="51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</row>
    <row r="51" spans="1:86" ht="12" customHeight="1" x14ac:dyDescent="0.2">
      <c r="A51" s="49" t="s">
        <v>74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52" t="s">
        <v>50</v>
      </c>
      <c r="B52" s="53"/>
      <c r="C52" s="134"/>
      <c r="D52" s="135"/>
      <c r="E52" s="134"/>
      <c r="F52" s="136"/>
      <c r="G52" s="54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x14ac:dyDescent="0.2">
      <c r="A53" s="137"/>
      <c r="B53" s="137"/>
      <c r="F53" s="78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x14ac:dyDescent="0.2">
      <c r="A54" s="137"/>
      <c r="B54" s="137"/>
      <c r="F54" s="78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4.25" customHeight="1" x14ac:dyDescent="0.2">
      <c r="A55" s="168" t="s">
        <v>0</v>
      </c>
      <c r="B55" s="168"/>
      <c r="C55" s="168"/>
      <c r="D55" s="168"/>
      <c r="E55" s="168"/>
      <c r="F55" s="168"/>
      <c r="G55" s="168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 spans="1:86" ht="14.25" customHeight="1" x14ac:dyDescent="0.2">
      <c r="A56" s="168"/>
      <c r="B56" s="168"/>
      <c r="C56" s="168"/>
      <c r="D56" s="168"/>
      <c r="E56" s="168"/>
      <c r="F56" s="168"/>
      <c r="G56" s="168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 spans="1:86" ht="14.1" customHeight="1" x14ac:dyDescent="0.2">
      <c r="A57" s="5" t="s">
        <v>54</v>
      </c>
      <c r="B57" s="6"/>
      <c r="C57" s="6"/>
      <c r="D57" s="6"/>
      <c r="E57" s="6"/>
      <c r="F57" s="6"/>
      <c r="G57" s="7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 spans="1:86" ht="14.1" customHeight="1" x14ac:dyDescent="0.2">
      <c r="A58" s="5" t="s">
        <v>52</v>
      </c>
      <c r="B58" s="6"/>
      <c r="C58" s="6"/>
      <c r="D58" s="6"/>
      <c r="E58" s="6"/>
      <c r="F58" s="6"/>
      <c r="G58" s="7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6.5" customHeight="1" x14ac:dyDescent="0.2">
      <c r="A59" s="9" t="s">
        <v>55</v>
      </c>
      <c r="B59" s="10"/>
      <c r="C59" s="10"/>
      <c r="D59" s="10"/>
      <c r="E59" s="10"/>
      <c r="F59" s="10"/>
      <c r="G59" s="11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1" spans="1:86" s="13" customFormat="1" ht="39.950000000000003" customHeight="1" x14ac:dyDescent="0.25">
      <c r="A61" s="172" t="s">
        <v>8</v>
      </c>
      <c r="B61" s="170" t="s">
        <v>10</v>
      </c>
      <c r="C61" s="170"/>
      <c r="D61" s="170"/>
      <c r="E61" s="170"/>
      <c r="F61" s="170"/>
      <c r="G61" s="170">
        <v>2006</v>
      </c>
      <c r="H61" s="170"/>
      <c r="I61" s="170"/>
      <c r="J61" s="170"/>
      <c r="K61" s="170">
        <v>2007</v>
      </c>
      <c r="L61" s="170"/>
      <c r="M61" s="170"/>
      <c r="N61" s="170"/>
      <c r="O61" s="170">
        <v>2008</v>
      </c>
      <c r="P61" s="170"/>
      <c r="Q61" s="170"/>
      <c r="R61" s="170"/>
      <c r="S61" s="170">
        <v>2009</v>
      </c>
      <c r="T61" s="170"/>
      <c r="U61" s="170"/>
      <c r="V61" s="170"/>
      <c r="W61" s="170">
        <v>2010</v>
      </c>
      <c r="X61" s="170"/>
      <c r="Y61" s="170"/>
      <c r="Z61" s="170"/>
      <c r="AA61" s="170">
        <v>2011</v>
      </c>
      <c r="AB61" s="170"/>
      <c r="AC61" s="170"/>
      <c r="AD61" s="170"/>
      <c r="AE61" s="170">
        <v>2012</v>
      </c>
      <c r="AF61" s="170"/>
      <c r="AG61" s="170"/>
      <c r="AH61" s="170"/>
      <c r="AI61" s="170">
        <v>2013</v>
      </c>
      <c r="AJ61" s="170"/>
      <c r="AK61" s="170"/>
      <c r="AL61" s="170"/>
      <c r="AM61" s="170">
        <v>2014</v>
      </c>
      <c r="AN61" s="170"/>
      <c r="AO61" s="170"/>
      <c r="AP61" s="170"/>
      <c r="AQ61" s="170">
        <v>2015</v>
      </c>
      <c r="AR61" s="170"/>
      <c r="AS61" s="170"/>
      <c r="AT61" s="170"/>
      <c r="AU61" s="170">
        <v>2016</v>
      </c>
      <c r="AV61" s="170"/>
      <c r="AW61" s="170"/>
      <c r="AX61" s="170"/>
      <c r="AY61" s="170">
        <v>2017</v>
      </c>
      <c r="AZ61" s="170"/>
      <c r="BA61" s="170"/>
      <c r="BB61" s="170"/>
      <c r="BC61" s="170">
        <v>2018</v>
      </c>
      <c r="BD61" s="170"/>
      <c r="BE61" s="170"/>
      <c r="BF61" s="170"/>
      <c r="BG61" s="170">
        <v>2019</v>
      </c>
      <c r="BH61" s="170"/>
      <c r="BI61" s="170"/>
      <c r="BJ61" s="170"/>
      <c r="BK61" s="170">
        <v>2020</v>
      </c>
      <c r="BL61" s="170"/>
      <c r="BM61" s="170"/>
      <c r="BN61" s="170"/>
      <c r="BO61" s="170">
        <v>2021</v>
      </c>
      <c r="BP61" s="170"/>
      <c r="BQ61" s="170"/>
      <c r="BR61" s="170"/>
      <c r="BS61" s="170">
        <v>2022</v>
      </c>
      <c r="BT61" s="170"/>
      <c r="BU61" s="170"/>
      <c r="BV61" s="170"/>
      <c r="BW61" s="170">
        <v>2023</v>
      </c>
      <c r="BX61" s="170"/>
      <c r="BY61" s="170"/>
      <c r="BZ61" s="170"/>
      <c r="CA61" s="170" t="s">
        <v>12</v>
      </c>
      <c r="CB61" s="170"/>
      <c r="CC61" s="170"/>
      <c r="CD61" s="170"/>
      <c r="CE61" s="170" t="s">
        <v>13</v>
      </c>
      <c r="CF61" s="170"/>
      <c r="CG61" s="170"/>
      <c r="CH61" s="171"/>
    </row>
    <row r="62" spans="1:86" s="13" customFormat="1" ht="12" customHeight="1" x14ac:dyDescent="0.25">
      <c r="A62" s="173"/>
      <c r="B62" s="174"/>
      <c r="C62" s="84"/>
      <c r="D62" s="84"/>
      <c r="E62" s="84"/>
      <c r="F62" s="84"/>
      <c r="G62" s="84" t="s">
        <v>14</v>
      </c>
      <c r="H62" s="84" t="s">
        <v>15</v>
      </c>
      <c r="I62" s="84" t="s">
        <v>16</v>
      </c>
      <c r="J62" s="84" t="s">
        <v>17</v>
      </c>
      <c r="K62" s="84" t="s">
        <v>14</v>
      </c>
      <c r="L62" s="84" t="s">
        <v>15</v>
      </c>
      <c r="M62" s="84" t="s">
        <v>16</v>
      </c>
      <c r="N62" s="84" t="s">
        <v>17</v>
      </c>
      <c r="O62" s="84" t="s">
        <v>14</v>
      </c>
      <c r="P62" s="84" t="s">
        <v>15</v>
      </c>
      <c r="Q62" s="84" t="s">
        <v>16</v>
      </c>
      <c r="R62" s="84" t="s">
        <v>17</v>
      </c>
      <c r="S62" s="84" t="s">
        <v>14</v>
      </c>
      <c r="T62" s="84" t="s">
        <v>15</v>
      </c>
      <c r="U62" s="84" t="s">
        <v>16</v>
      </c>
      <c r="V62" s="84" t="s">
        <v>17</v>
      </c>
      <c r="W62" s="84" t="s">
        <v>14</v>
      </c>
      <c r="X62" s="84" t="s">
        <v>15</v>
      </c>
      <c r="Y62" s="84" t="s">
        <v>16</v>
      </c>
      <c r="Z62" s="84" t="s">
        <v>17</v>
      </c>
      <c r="AA62" s="84" t="s">
        <v>14</v>
      </c>
      <c r="AB62" s="84" t="s">
        <v>15</v>
      </c>
      <c r="AC62" s="84" t="s">
        <v>16</v>
      </c>
      <c r="AD62" s="84" t="s">
        <v>17</v>
      </c>
      <c r="AE62" s="84" t="s">
        <v>14</v>
      </c>
      <c r="AF62" s="84" t="s">
        <v>15</v>
      </c>
      <c r="AG62" s="84" t="s">
        <v>16</v>
      </c>
      <c r="AH62" s="84" t="s">
        <v>17</v>
      </c>
      <c r="AI62" s="84" t="s">
        <v>14</v>
      </c>
      <c r="AJ62" s="84" t="s">
        <v>15</v>
      </c>
      <c r="AK62" s="84" t="s">
        <v>16</v>
      </c>
      <c r="AL62" s="84" t="s">
        <v>17</v>
      </c>
      <c r="AM62" s="84" t="s">
        <v>14</v>
      </c>
      <c r="AN62" s="84" t="s">
        <v>15</v>
      </c>
      <c r="AO62" s="84" t="s">
        <v>16</v>
      </c>
      <c r="AP62" s="84" t="s">
        <v>17</v>
      </c>
      <c r="AQ62" s="84" t="s">
        <v>14</v>
      </c>
      <c r="AR62" s="84" t="s">
        <v>15</v>
      </c>
      <c r="AS62" s="84" t="s">
        <v>16</v>
      </c>
      <c r="AT62" s="84" t="s">
        <v>17</v>
      </c>
      <c r="AU62" s="84" t="s">
        <v>14</v>
      </c>
      <c r="AV62" s="84" t="s">
        <v>15</v>
      </c>
      <c r="AW62" s="84" t="s">
        <v>16</v>
      </c>
      <c r="AX62" s="84" t="s">
        <v>17</v>
      </c>
      <c r="AY62" s="84" t="s">
        <v>14</v>
      </c>
      <c r="AZ62" s="84" t="s">
        <v>15</v>
      </c>
      <c r="BA62" s="84" t="s">
        <v>16</v>
      </c>
      <c r="BB62" s="84" t="s">
        <v>17</v>
      </c>
      <c r="BC62" s="84" t="s">
        <v>14</v>
      </c>
      <c r="BD62" s="84" t="s">
        <v>15</v>
      </c>
      <c r="BE62" s="84" t="s">
        <v>16</v>
      </c>
      <c r="BF62" s="84" t="s">
        <v>17</v>
      </c>
      <c r="BG62" s="84" t="s">
        <v>14</v>
      </c>
      <c r="BH62" s="84" t="s">
        <v>15</v>
      </c>
      <c r="BI62" s="84" t="s">
        <v>16</v>
      </c>
      <c r="BJ62" s="84" t="s">
        <v>17</v>
      </c>
      <c r="BK62" s="84" t="s">
        <v>14</v>
      </c>
      <c r="BL62" s="84" t="s">
        <v>15</v>
      </c>
      <c r="BM62" s="84" t="s">
        <v>16</v>
      </c>
      <c r="BN62" s="84" t="s">
        <v>17</v>
      </c>
      <c r="BO62" s="84" t="s">
        <v>14</v>
      </c>
      <c r="BP62" s="84" t="s">
        <v>15</v>
      </c>
      <c r="BQ62" s="84" t="s">
        <v>16</v>
      </c>
      <c r="BR62" s="84" t="s">
        <v>17</v>
      </c>
      <c r="BS62" s="84" t="s">
        <v>14</v>
      </c>
      <c r="BT62" s="84" t="s">
        <v>15</v>
      </c>
      <c r="BU62" s="84" t="s">
        <v>16</v>
      </c>
      <c r="BV62" s="84" t="s">
        <v>17</v>
      </c>
      <c r="BW62" s="84" t="s">
        <v>14</v>
      </c>
      <c r="BX62" s="84" t="s">
        <v>15</v>
      </c>
      <c r="BY62" s="84" t="s">
        <v>16</v>
      </c>
      <c r="BZ62" s="84" t="s">
        <v>17</v>
      </c>
      <c r="CA62" s="84" t="s">
        <v>14</v>
      </c>
      <c r="CB62" s="84" t="s">
        <v>15</v>
      </c>
      <c r="CC62" s="84" t="s">
        <v>16</v>
      </c>
      <c r="CD62" s="84" t="s">
        <v>17</v>
      </c>
      <c r="CE62" s="84" t="s">
        <v>14</v>
      </c>
      <c r="CF62" s="84" t="s">
        <v>15</v>
      </c>
      <c r="CG62" s="84" t="s">
        <v>16</v>
      </c>
      <c r="CH62" s="85" t="s">
        <v>17</v>
      </c>
    </row>
    <row r="63" spans="1:86" ht="13.35" customHeight="1" x14ac:dyDescent="0.2">
      <c r="A63" s="86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  <c r="BM63" s="87"/>
      <c r="BN63" s="87"/>
      <c r="BO63" s="87"/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87"/>
      <c r="CA63" s="87"/>
      <c r="CB63" s="87"/>
      <c r="CC63" s="87"/>
      <c r="CD63" s="87"/>
      <c r="CE63" s="87"/>
      <c r="CF63" s="87"/>
      <c r="CG63" s="87"/>
      <c r="CH63" s="88"/>
    </row>
    <row r="64" spans="1:86" ht="14.25" x14ac:dyDescent="0.2">
      <c r="A64" s="89" t="s">
        <v>56</v>
      </c>
      <c r="B64" s="38" t="s">
        <v>57</v>
      </c>
      <c r="C64" s="115"/>
      <c r="D64" s="115"/>
      <c r="E64" s="115"/>
      <c r="F64" s="115"/>
      <c r="G64" s="116">
        <v>8.6775408595623986</v>
      </c>
      <c r="H64" s="116">
        <v>7.9967586025352375</v>
      </c>
      <c r="I64" s="116">
        <v>9.2617955920329678</v>
      </c>
      <c r="J64" s="116">
        <v>8.4244452510780121</v>
      </c>
      <c r="K64" s="116">
        <v>9.3643368391292938</v>
      </c>
      <c r="L64" s="116">
        <v>9.0051168300621498</v>
      </c>
      <c r="M64" s="116">
        <v>8.6025184156026882</v>
      </c>
      <c r="N64" s="116">
        <v>8.3237374870777785</v>
      </c>
      <c r="O64" s="116">
        <v>6.1875367216804023</v>
      </c>
      <c r="P64" s="116">
        <v>5.5174583922542126</v>
      </c>
      <c r="Q64" s="116">
        <v>5.3602000702248631</v>
      </c>
      <c r="R64" s="116">
        <v>5.3098291868247003</v>
      </c>
      <c r="S64" s="116">
        <v>1.2128731344573538</v>
      </c>
      <c r="T64" s="116">
        <v>1.0597289454479011</v>
      </c>
      <c r="U64" s="116">
        <v>0.39921645982070686</v>
      </c>
      <c r="V64" s="116">
        <v>0.25396753730500166</v>
      </c>
      <c r="W64" s="116">
        <v>3.8745892307235437</v>
      </c>
      <c r="X64" s="116">
        <v>5.0175009024107737</v>
      </c>
      <c r="Y64" s="116">
        <v>5.5263563204734254</v>
      </c>
      <c r="Z64" s="116">
        <v>6.0450386259053346</v>
      </c>
      <c r="AA64" s="116">
        <v>7.8907760599240362</v>
      </c>
      <c r="AB64" s="116">
        <v>8.3489207103207832</v>
      </c>
      <c r="AC64" s="116">
        <v>8.7174388807095937</v>
      </c>
      <c r="AD64" s="116">
        <v>8.4373677608798232</v>
      </c>
      <c r="AE64" s="116">
        <v>7.1815532254851746</v>
      </c>
      <c r="AF64" s="116">
        <v>6.7197639858519267</v>
      </c>
      <c r="AG64" s="116">
        <v>5.4718543038795531</v>
      </c>
      <c r="AH64" s="116">
        <v>4.8985517787357225</v>
      </c>
      <c r="AI64" s="116">
        <v>4.3366121148391983</v>
      </c>
      <c r="AJ64" s="116">
        <v>4.9989593892960613</v>
      </c>
      <c r="AK64" s="116">
        <v>5.8994892268988508</v>
      </c>
      <c r="AL64" s="116">
        <v>5.8894512832547576</v>
      </c>
      <c r="AM64" s="116">
        <v>7.1527731275319013</v>
      </c>
      <c r="AN64" s="116">
        <v>6.1845931480856819</v>
      </c>
      <c r="AO64" s="116">
        <v>5.6411579186139704</v>
      </c>
      <c r="AP64" s="116">
        <v>5.9868763198289514</v>
      </c>
      <c r="AQ64" s="116">
        <v>3.0319681002691965</v>
      </c>
      <c r="AR64" s="116">
        <v>2.3223033723258624</v>
      </c>
      <c r="AS64" s="116">
        <v>3.1484785388900178</v>
      </c>
      <c r="AT64" s="116">
        <v>2.3554054326995697</v>
      </c>
      <c r="AU64" s="116">
        <v>3.3317971658937608</v>
      </c>
      <c r="AV64" s="116">
        <v>1.9595721334631406</v>
      </c>
      <c r="AW64" s="116">
        <v>1.4277011047201711</v>
      </c>
      <c r="AX64" s="116">
        <v>1.2291266688798714</v>
      </c>
      <c r="AY64" s="116">
        <v>1.0657688044494904</v>
      </c>
      <c r="AZ64" s="116">
        <v>1.1724511165999161</v>
      </c>
      <c r="BA64" s="116">
        <v>1.2334509200440351</v>
      </c>
      <c r="BB64" s="116">
        <v>1.1240747854304658</v>
      </c>
      <c r="BC64" s="117">
        <v>1.6057621585466393</v>
      </c>
      <c r="BD64" s="117">
        <v>2.5661270644330472</v>
      </c>
      <c r="BE64" s="117">
        <v>2.8839193527470997</v>
      </c>
      <c r="BF64" s="117">
        <v>3.4633256907261227</v>
      </c>
      <c r="BG64" s="117">
        <v>4.5653290082043725</v>
      </c>
      <c r="BH64" s="117">
        <v>4.1446320136558654</v>
      </c>
      <c r="BI64" s="117">
        <v>4.3538660061499996</v>
      </c>
      <c r="BJ64" s="117">
        <v>4.0215202955588438</v>
      </c>
      <c r="BK64" s="117">
        <v>0.53523607979504106</v>
      </c>
      <c r="BL64" s="117">
        <v>-8.9297865210001959</v>
      </c>
      <c r="BM64" s="117">
        <v>-9.2107739000733062</v>
      </c>
      <c r="BN64" s="117">
        <v>-7.541076875260103</v>
      </c>
      <c r="BO64" s="117">
        <v>1.8893354553300981</v>
      </c>
      <c r="BP64" s="117">
        <v>12.054863667913267</v>
      </c>
      <c r="BQ64" s="117">
        <v>13.635745727842561</v>
      </c>
      <c r="BR64" s="117">
        <v>13.372988741510568</v>
      </c>
      <c r="BS64" s="117">
        <v>13.031051367831495</v>
      </c>
      <c r="BT64" s="117">
        <v>13.409215241496071</v>
      </c>
      <c r="BU64" s="117">
        <v>12.28528611046751</v>
      </c>
      <c r="BV64" s="117">
        <v>10.251820254172216</v>
      </c>
      <c r="BW64" s="117">
        <v>1.5572046718147732</v>
      </c>
      <c r="BX64" s="117">
        <v>-0.26477189039634652</v>
      </c>
      <c r="BY64" s="117">
        <v>-2.0524159712183945</v>
      </c>
      <c r="BZ64" s="117">
        <v>-2.4097626703302808</v>
      </c>
      <c r="CA64" s="117">
        <v>-2.3938448657469849</v>
      </c>
      <c r="CB64" s="117">
        <v>-0.46309971669384709</v>
      </c>
      <c r="CC64" s="117">
        <v>0.88617013537290745</v>
      </c>
      <c r="CD64" s="117">
        <v>1.6107727374635772</v>
      </c>
      <c r="CE64" s="117">
        <v>4.4516886136971863</v>
      </c>
      <c r="CF64" s="117">
        <v>4.2092843570379301</v>
      </c>
      <c r="CG64" s="117">
        <v>4.4515337458647082</v>
      </c>
      <c r="CH64" s="118">
        <v>3.8878175687549401</v>
      </c>
    </row>
    <row r="65" spans="1:86" x14ac:dyDescent="0.2">
      <c r="A65" s="92" t="s">
        <v>58</v>
      </c>
      <c r="B65" s="93" t="s">
        <v>59</v>
      </c>
      <c r="C65" s="119"/>
      <c r="D65" s="119"/>
      <c r="E65" s="119"/>
      <c r="F65" s="119"/>
      <c r="G65" s="120">
        <v>5.8105417811144804</v>
      </c>
      <c r="H65" s="120">
        <v>5.7066204694061327</v>
      </c>
      <c r="I65" s="120">
        <v>6.0445592873043381</v>
      </c>
      <c r="J65" s="120">
        <v>6.1721354309589742</v>
      </c>
      <c r="K65" s="120">
        <v>5.8435519120429973</v>
      </c>
      <c r="L65" s="120">
        <v>5.6250858135921504</v>
      </c>
      <c r="M65" s="120">
        <v>6.0266368502516059</v>
      </c>
      <c r="N65" s="120">
        <v>6.2138296366051549</v>
      </c>
      <c r="O65" s="120">
        <v>5.4998614619275088</v>
      </c>
      <c r="P65" s="120">
        <v>5.0697368050007867</v>
      </c>
      <c r="Q65" s="120">
        <v>4.5035837107596137</v>
      </c>
      <c r="R65" s="120">
        <v>4.2142148284668934</v>
      </c>
      <c r="S65" s="120">
        <v>2.457536291624308</v>
      </c>
      <c r="T65" s="120">
        <v>2.5455630831126257</v>
      </c>
      <c r="U65" s="120">
        <v>2.3606623519517314</v>
      </c>
      <c r="V65" s="120">
        <v>2.2149938985639039</v>
      </c>
      <c r="W65" s="120">
        <v>3.9253036430613122</v>
      </c>
      <c r="X65" s="120">
        <v>4.3106024286874884</v>
      </c>
      <c r="Y65" s="120">
        <v>4.7037932247760921</v>
      </c>
      <c r="Z65" s="120">
        <v>5.0824765204125129</v>
      </c>
      <c r="AA65" s="120">
        <v>4.6252328309760742</v>
      </c>
      <c r="AB65" s="120">
        <v>5.5429470307896764</v>
      </c>
      <c r="AC65" s="120">
        <v>5.5287295985605027</v>
      </c>
      <c r="AD65" s="120">
        <v>5.6693547472410444</v>
      </c>
      <c r="AE65" s="120">
        <v>6.9143011359900299</v>
      </c>
      <c r="AF65" s="120">
        <v>6.0296354023301006</v>
      </c>
      <c r="AG65" s="120">
        <v>5.7707788052391038</v>
      </c>
      <c r="AH65" s="120">
        <v>5.4921975767138633</v>
      </c>
      <c r="AI65" s="120">
        <v>4.823921353841115</v>
      </c>
      <c r="AJ65" s="120">
        <v>5.3842671483606068</v>
      </c>
      <c r="AK65" s="120">
        <v>5.3056028658073018</v>
      </c>
      <c r="AL65" s="120">
        <v>5.3539632419526129</v>
      </c>
      <c r="AM65" s="120">
        <v>4.7964144560403099</v>
      </c>
      <c r="AN65" s="120">
        <v>4.3709769311104338</v>
      </c>
      <c r="AO65" s="120">
        <v>4.283561450119052</v>
      </c>
      <c r="AP65" s="120">
        <v>4.324717592786314</v>
      </c>
      <c r="AQ65" s="120">
        <v>4.0320129265290632</v>
      </c>
      <c r="AR65" s="120">
        <v>4.1988462866113139</v>
      </c>
      <c r="AS65" s="120">
        <v>4.6062722861473162</v>
      </c>
      <c r="AT65" s="120">
        <v>3.4046971768183738</v>
      </c>
      <c r="AU65" s="120">
        <v>1.8254010611540537</v>
      </c>
      <c r="AV65" s="120">
        <v>1.6467003239676927</v>
      </c>
      <c r="AW65" s="120">
        <v>1.1237726516307447</v>
      </c>
      <c r="AX65" s="120">
        <v>1.6263777583142911</v>
      </c>
      <c r="AY65" s="120">
        <v>1.2025870236293486</v>
      </c>
      <c r="AZ65" s="120">
        <v>1.9927737514429396</v>
      </c>
      <c r="BA65" s="120">
        <v>2.3330541894744954</v>
      </c>
      <c r="BB65" s="120">
        <v>2.3303445450821698</v>
      </c>
      <c r="BC65" s="120">
        <v>3.6132581521031852</v>
      </c>
      <c r="BD65" s="120">
        <v>3.9207175212576857</v>
      </c>
      <c r="BE65" s="120">
        <v>3.9452545461014665</v>
      </c>
      <c r="BF65" s="120">
        <v>3.9707420517007108</v>
      </c>
      <c r="BG65" s="120">
        <v>3.3346405978682157</v>
      </c>
      <c r="BH65" s="120">
        <v>3.7724979542924899</v>
      </c>
      <c r="BI65" s="120">
        <v>4.040564854851155</v>
      </c>
      <c r="BJ65" s="120">
        <v>4.292842869917493</v>
      </c>
      <c r="BK65" s="120">
        <v>3.8874675900414104</v>
      </c>
      <c r="BL65" s="120">
        <v>-5.4767791057238782</v>
      </c>
      <c r="BM65" s="120">
        <v>-6.1652334626365359</v>
      </c>
      <c r="BN65" s="120">
        <v>-4.2140585056552453</v>
      </c>
      <c r="BO65" s="120">
        <v>3.3002797867935101</v>
      </c>
      <c r="BP65" s="120">
        <v>12.054123471387143</v>
      </c>
      <c r="BQ65" s="120">
        <v>14.283108023944123</v>
      </c>
      <c r="BR65" s="120">
        <v>13.766252065179557</v>
      </c>
      <c r="BS65" s="120">
        <v>11.729371001442885</v>
      </c>
      <c r="BT65" s="120">
        <v>13.601176583984113</v>
      </c>
      <c r="BU65" s="120">
        <v>11.863585562918317</v>
      </c>
      <c r="BV65" s="120">
        <v>9.0174036473226664</v>
      </c>
      <c r="BW65" s="120">
        <v>2.0813940446186621</v>
      </c>
      <c r="BX65" s="120">
        <v>1.2635354810548449</v>
      </c>
      <c r="BY65" s="120">
        <v>0.90065072536856405</v>
      </c>
      <c r="BZ65" s="120">
        <v>0.67886129510472415</v>
      </c>
      <c r="CA65" s="120">
        <v>-8.6513542830459755E-3</v>
      </c>
      <c r="CB65" s="120">
        <v>0.7048795128597618</v>
      </c>
      <c r="CC65" s="120">
        <v>0.70318757612197658</v>
      </c>
      <c r="CD65" s="120">
        <v>1.4653919254094916</v>
      </c>
      <c r="CE65" s="120">
        <v>3.6833210579925435</v>
      </c>
      <c r="CF65" s="120">
        <v>3.7234384922593762</v>
      </c>
      <c r="CG65" s="120">
        <v>4.394071844798404</v>
      </c>
      <c r="CH65" s="121">
        <v>4.2257510628449069</v>
      </c>
    </row>
    <row r="66" spans="1:86" ht="14.25" x14ac:dyDescent="0.2">
      <c r="A66" s="96" t="s">
        <v>60</v>
      </c>
      <c r="B66" s="97" t="s">
        <v>61</v>
      </c>
      <c r="C66" s="122"/>
      <c r="D66" s="122"/>
      <c r="E66" s="122"/>
      <c r="F66" s="122"/>
      <c r="G66" s="123">
        <v>6.0429622248906725</v>
      </c>
      <c r="H66" s="123">
        <v>6.1868622257192101</v>
      </c>
      <c r="I66" s="123">
        <v>6.4569426565284544</v>
      </c>
      <c r="J66" s="123">
        <v>6.3691966244290086</v>
      </c>
      <c r="K66" s="123">
        <v>6.8079463448576689</v>
      </c>
      <c r="L66" s="123">
        <v>6.3882680096742632</v>
      </c>
      <c r="M66" s="123">
        <v>6.5652062005297012</v>
      </c>
      <c r="N66" s="123">
        <v>6.5528517089766183</v>
      </c>
      <c r="O66" s="123">
        <v>5.4595443244751323</v>
      </c>
      <c r="P66" s="123">
        <v>4.6491043052239007</v>
      </c>
      <c r="Q66" s="123">
        <v>4.277066814277859</v>
      </c>
      <c r="R66" s="123">
        <v>4.1150024920242601</v>
      </c>
      <c r="S66" s="123">
        <v>2.0787143764832337</v>
      </c>
      <c r="T66" s="123">
        <v>2.2709673176328806</v>
      </c>
      <c r="U66" s="123">
        <v>1.9101144489560369</v>
      </c>
      <c r="V66" s="123">
        <v>1.7082760263021015</v>
      </c>
      <c r="W66" s="123">
        <v>3.7719706768671131</v>
      </c>
      <c r="X66" s="123">
        <v>4.1661326462784132</v>
      </c>
      <c r="Y66" s="123">
        <v>4.6958842276705326</v>
      </c>
      <c r="Z66" s="123">
        <v>5.0526094477202577</v>
      </c>
      <c r="AA66" s="123">
        <v>4.5826248671163086</v>
      </c>
      <c r="AB66" s="123">
        <v>5.4603666522197329</v>
      </c>
      <c r="AC66" s="123">
        <v>5.3844543626706951</v>
      </c>
      <c r="AD66" s="123">
        <v>5.5007459563706504</v>
      </c>
      <c r="AE66" s="123">
        <v>7.3352710203532041</v>
      </c>
      <c r="AF66" s="123">
        <v>6.3183508864318867</v>
      </c>
      <c r="AG66" s="123">
        <v>6.0605905503584836</v>
      </c>
      <c r="AH66" s="123">
        <v>5.6338665764155564</v>
      </c>
      <c r="AI66" s="123">
        <v>4.5212009872589931</v>
      </c>
      <c r="AJ66" s="123">
        <v>4.9526861509937845</v>
      </c>
      <c r="AK66" s="123">
        <v>4.7303280950851843</v>
      </c>
      <c r="AL66" s="123">
        <v>4.6268973483039701</v>
      </c>
      <c r="AM66" s="123">
        <v>4.1251975495308955</v>
      </c>
      <c r="AN66" s="123">
        <v>3.9301899209654607</v>
      </c>
      <c r="AO66" s="123">
        <v>4.0195213479740062</v>
      </c>
      <c r="AP66" s="123">
        <v>4.2490818199372455</v>
      </c>
      <c r="AQ66" s="123">
        <v>3.5759889913269802</v>
      </c>
      <c r="AR66" s="123">
        <v>3.3828563834793783</v>
      </c>
      <c r="AS66" s="123">
        <v>3.5493155825632385</v>
      </c>
      <c r="AT66" s="123">
        <v>3.0925153980287519</v>
      </c>
      <c r="AU66" s="123">
        <v>2.5616367398738475</v>
      </c>
      <c r="AV66" s="123">
        <v>1.9080890389852101</v>
      </c>
      <c r="AW66" s="123">
        <v>1.5211641780876306</v>
      </c>
      <c r="AX66" s="123">
        <v>1.5836286984154668</v>
      </c>
      <c r="AY66" s="123">
        <v>0.89320573263039194</v>
      </c>
      <c r="AZ66" s="123">
        <v>1.7634424596905518</v>
      </c>
      <c r="BA66" s="123">
        <v>2.0951755909001832</v>
      </c>
      <c r="BB66" s="123">
        <v>2.0538143670531923</v>
      </c>
      <c r="BC66" s="123">
        <v>3.3622678737503975</v>
      </c>
      <c r="BD66" s="123">
        <v>3.4278711898008822</v>
      </c>
      <c r="BE66" s="123">
        <v>3.3473932254392622</v>
      </c>
      <c r="BF66" s="123">
        <v>3.2364963631430328</v>
      </c>
      <c r="BG66" s="123">
        <v>2.9213403565070166</v>
      </c>
      <c r="BH66" s="123">
        <v>3.2797885983052879</v>
      </c>
      <c r="BI66" s="123">
        <v>3.636678649536691</v>
      </c>
      <c r="BJ66" s="123">
        <v>4.0705551589474993</v>
      </c>
      <c r="BK66" s="123">
        <v>4.8499953572319328</v>
      </c>
      <c r="BL66" s="123">
        <v>-6.3254090313163545</v>
      </c>
      <c r="BM66" s="123">
        <v>-7.1442499884311843</v>
      </c>
      <c r="BN66" s="123">
        <v>-5.0072670629334226</v>
      </c>
      <c r="BO66" s="123">
        <v>1.858155294397875</v>
      </c>
      <c r="BP66" s="123">
        <v>12.485032553548493</v>
      </c>
      <c r="BQ66" s="123">
        <v>14.963865353754528</v>
      </c>
      <c r="BR66" s="123">
        <v>14.724089489311282</v>
      </c>
      <c r="BS66" s="123">
        <v>12.264727858975007</v>
      </c>
      <c r="BT66" s="123">
        <v>14.448834329067964</v>
      </c>
      <c r="BU66" s="123">
        <v>13.206971455503933</v>
      </c>
      <c r="BV66" s="123">
        <v>10.789757758978993</v>
      </c>
      <c r="BW66" s="123">
        <v>2.9277544964380695</v>
      </c>
      <c r="BX66" s="123">
        <v>1.8145782774400487</v>
      </c>
      <c r="BY66" s="123">
        <v>1.0305609167679677</v>
      </c>
      <c r="BZ66" s="123">
        <v>0.51322260068774028</v>
      </c>
      <c r="CA66" s="123">
        <v>0.4251518383750863</v>
      </c>
      <c r="CB66" s="123">
        <v>0.7733812633264705</v>
      </c>
      <c r="CC66" s="123">
        <v>1.1685148111505441</v>
      </c>
      <c r="CD66" s="123">
        <v>1.6401564432128026</v>
      </c>
      <c r="CE66" s="123">
        <v>3.7790175695662214</v>
      </c>
      <c r="CF66" s="123">
        <v>3.7025396477006609</v>
      </c>
      <c r="CG66" s="123">
        <v>3.8301454293416839</v>
      </c>
      <c r="CH66" s="124">
        <v>3.6317462255631057</v>
      </c>
    </row>
    <row r="67" spans="1:86" x14ac:dyDescent="0.2">
      <c r="A67" s="100" t="s">
        <v>62</v>
      </c>
      <c r="B67" s="101" t="s">
        <v>63</v>
      </c>
      <c r="C67" s="125"/>
      <c r="D67" s="125"/>
      <c r="E67" s="125"/>
      <c r="F67" s="125"/>
      <c r="G67" s="126">
        <v>4.5449980531530514</v>
      </c>
      <c r="H67" s="126">
        <v>3.1063409002771323</v>
      </c>
      <c r="I67" s="126">
        <v>3.8187232121465513</v>
      </c>
      <c r="J67" s="126">
        <v>5.2134991119005463</v>
      </c>
      <c r="K67" s="126">
        <v>0.72734297034153883</v>
      </c>
      <c r="L67" s="126">
        <v>1.5762398613158695</v>
      </c>
      <c r="M67" s="126">
        <v>3.2271585666877201</v>
      </c>
      <c r="N67" s="126">
        <v>4.5689049754200397</v>
      </c>
      <c r="O67" s="126">
        <v>5.9141223617262426</v>
      </c>
      <c r="P67" s="126">
        <v>7.6437044382224144</v>
      </c>
      <c r="Q67" s="126">
        <v>5.9161986925631425</v>
      </c>
      <c r="R67" s="126">
        <v>4.6973278055458536</v>
      </c>
      <c r="S67" s="126">
        <v>4.1770545330469702</v>
      </c>
      <c r="T67" s="126">
        <v>3.701241993466482</v>
      </c>
      <c r="U67" s="126">
        <v>4.5325215353422266</v>
      </c>
      <c r="V67" s="126">
        <v>4.7629033849797793</v>
      </c>
      <c r="W67" s="126">
        <v>4.9962104121317452</v>
      </c>
      <c r="X67" s="126">
        <v>5.2895296634950313</v>
      </c>
      <c r="Y67" s="126">
        <v>4.8942255269772659</v>
      </c>
      <c r="Z67" s="126">
        <v>5.2257874595231186</v>
      </c>
      <c r="AA67" s="126">
        <v>4.9194479662664179</v>
      </c>
      <c r="AB67" s="126">
        <v>6.0461445277032198</v>
      </c>
      <c r="AC67" s="126">
        <v>6.3569755160765737</v>
      </c>
      <c r="AD67" s="126">
        <v>6.4769535490079733</v>
      </c>
      <c r="AE67" s="126">
        <v>4.2281990922705006</v>
      </c>
      <c r="AF67" s="126">
        <v>4.1732581920003184</v>
      </c>
      <c r="AG67" s="126">
        <v>3.9634878361316481</v>
      </c>
      <c r="AH67" s="126">
        <v>4.8070960893737293</v>
      </c>
      <c r="AI67" s="126">
        <v>6.6135354192234104</v>
      </c>
      <c r="AJ67" s="126">
        <v>7.8497231255164621</v>
      </c>
      <c r="AK67" s="126">
        <v>8.532798448534578</v>
      </c>
      <c r="AL67" s="126">
        <v>8.8954625219353574</v>
      </c>
      <c r="AM67" s="126">
        <v>8.7493074608117922</v>
      </c>
      <c r="AN67" s="126">
        <v>6.8915074898910973</v>
      </c>
      <c r="AO67" s="126">
        <v>5.7830058372152564</v>
      </c>
      <c r="AP67" s="126">
        <v>4.6760469998894649</v>
      </c>
      <c r="AQ67" s="126">
        <v>6.5179793769572143</v>
      </c>
      <c r="AR67" s="126">
        <v>8.5530149030777807</v>
      </c>
      <c r="AS67" s="126">
        <v>10.173779459869593</v>
      </c>
      <c r="AT67" s="126">
        <v>4.8507134437074484</v>
      </c>
      <c r="AU67" s="126">
        <v>-2.1401538502000506</v>
      </c>
      <c r="AV67" s="126">
        <v>0.29852456444096731</v>
      </c>
      <c r="AW67" s="126">
        <v>-0.87341739524927675</v>
      </c>
      <c r="AX67" s="126">
        <v>1.8240091284357618</v>
      </c>
      <c r="AY67" s="126">
        <v>2.4456562121223868</v>
      </c>
      <c r="AZ67" s="126">
        <v>2.8886774758097431</v>
      </c>
      <c r="BA67" s="126">
        <v>3.3025575974158272</v>
      </c>
      <c r="BB67" s="126">
        <v>3.6428206522634667</v>
      </c>
      <c r="BC67" s="126">
        <v>5.3249624592492495</v>
      </c>
      <c r="BD67" s="126">
        <v>6.7005237275838709</v>
      </c>
      <c r="BE67" s="126">
        <v>7.1887641804704998</v>
      </c>
      <c r="BF67" s="126">
        <v>7.3515498914797632</v>
      </c>
      <c r="BG67" s="126">
        <v>5.6659911986773608</v>
      </c>
      <c r="BH67" s="126">
        <v>6.3079662612804128</v>
      </c>
      <c r="BI67" s="126">
        <v>6.0689441026075883</v>
      </c>
      <c r="BJ67" s="126">
        <v>5.2743834703399273</v>
      </c>
      <c r="BK67" s="126">
        <v>-1.2135190860690841</v>
      </c>
      <c r="BL67" s="126">
        <v>-1.2664281451110071</v>
      </c>
      <c r="BM67" s="126">
        <v>-1.4077807201499581</v>
      </c>
      <c r="BN67" s="126">
        <v>-0.76045359896448872</v>
      </c>
      <c r="BO67" s="126">
        <v>11.748620836815491</v>
      </c>
      <c r="BP67" s="126">
        <v>10.182373794031221</v>
      </c>
      <c r="BQ67" s="126">
        <v>11.311131797437724</v>
      </c>
      <c r="BR67" s="126">
        <v>9.8184602079803796</v>
      </c>
      <c r="BS67" s="126">
        <v>7.9339252342127224</v>
      </c>
      <c r="BT67" s="126">
        <v>8.9313990667988463</v>
      </c>
      <c r="BU67" s="126">
        <v>4.9116169160592165</v>
      </c>
      <c r="BV67" s="126">
        <v>0.98759375685828843</v>
      </c>
      <c r="BW67" s="126">
        <v>-3.5985365195157328</v>
      </c>
      <c r="BX67" s="126">
        <v>-2.0260952601229576</v>
      </c>
      <c r="BY67" s="126">
        <v>-0.13376741225501121</v>
      </c>
      <c r="BZ67" s="126">
        <v>1.5506353386342226</v>
      </c>
      <c r="CA67" s="126">
        <v>-2.0166613022719133</v>
      </c>
      <c r="CB67" s="126">
        <v>0.63010069419659942</v>
      </c>
      <c r="CC67" s="126">
        <v>-1.579419183916059</v>
      </c>
      <c r="CD67" s="126">
        <v>0.58724304183081699</v>
      </c>
      <c r="CE67" s="126">
        <v>3.7737859009983339</v>
      </c>
      <c r="CF67" s="126">
        <v>4.0975281505334067</v>
      </c>
      <c r="CG67" s="126">
        <v>7.7522836566699311</v>
      </c>
      <c r="CH67" s="127">
        <v>7.1429569622302154</v>
      </c>
    </row>
    <row r="68" spans="1:86" s="38" customFormat="1" x14ac:dyDescent="0.2">
      <c r="A68" s="104" t="s">
        <v>64</v>
      </c>
      <c r="B68" s="105" t="s">
        <v>65</v>
      </c>
      <c r="C68" s="110"/>
      <c r="D68" s="110"/>
      <c r="E68" s="110"/>
      <c r="F68" s="110"/>
      <c r="G68" s="117">
        <v>19.907411450577015</v>
      </c>
      <c r="H68" s="117">
        <v>16.51907204785725</v>
      </c>
      <c r="I68" s="117">
        <v>20.948751425515937</v>
      </c>
      <c r="J68" s="117">
        <v>16.933809963099606</v>
      </c>
      <c r="K68" s="117">
        <v>21.78896082446559</v>
      </c>
      <c r="L68" s="117">
        <v>20.682686884264839</v>
      </c>
      <c r="M68" s="117">
        <v>17.304943903123203</v>
      </c>
      <c r="N68" s="117">
        <v>15.797051427444416</v>
      </c>
      <c r="O68" s="117">
        <v>8.7137963777181255</v>
      </c>
      <c r="P68" s="117">
        <v>7.2770707745354315</v>
      </c>
      <c r="Q68" s="117">
        <v>8.4327229184142993</v>
      </c>
      <c r="R68" s="117">
        <v>9.0833219784711758</v>
      </c>
      <c r="S68" s="117">
        <v>-2.6238016024692854</v>
      </c>
      <c r="T68" s="117">
        <v>-3.5829927898728045</v>
      </c>
      <c r="U68" s="117">
        <v>-5.4612434978671587</v>
      </c>
      <c r="V68" s="117">
        <v>-6.295573424935597</v>
      </c>
      <c r="W68" s="117">
        <v>3.6104793992338386</v>
      </c>
      <c r="X68" s="117">
        <v>7.4512405542065352</v>
      </c>
      <c r="Y68" s="117">
        <v>8.2487116162138108</v>
      </c>
      <c r="Z68" s="117">
        <v>9.562094879442796</v>
      </c>
      <c r="AA68" s="117">
        <v>19.501491195810999</v>
      </c>
      <c r="AB68" s="117">
        <v>18.128725722494494</v>
      </c>
      <c r="AC68" s="117">
        <v>19.663870534701374</v>
      </c>
      <c r="AD68" s="117">
        <v>18.515927393291392</v>
      </c>
      <c r="AE68" s="117">
        <v>8.2135443255526326</v>
      </c>
      <c r="AF68" s="117">
        <v>9.1550072700812279</v>
      </c>
      <c r="AG68" s="117">
        <v>4.9693387412056182</v>
      </c>
      <c r="AH68" s="117">
        <v>2.8867130354438757</v>
      </c>
      <c r="AI68" s="117">
        <v>3.0397050084558117</v>
      </c>
      <c r="AJ68" s="117">
        <v>4.1594528723264403</v>
      </c>
      <c r="AK68" s="117">
        <v>8.0583647270687777</v>
      </c>
      <c r="AL68" s="117">
        <v>7.8066242181214989</v>
      </c>
      <c r="AM68" s="117">
        <v>15.240720773411766</v>
      </c>
      <c r="AN68" s="117">
        <v>12.187265038885357</v>
      </c>
      <c r="AO68" s="117">
        <v>10.148762033925166</v>
      </c>
      <c r="AP68" s="117">
        <v>11.953560210332668</v>
      </c>
      <c r="AQ68" s="117">
        <v>1.7803084963958327E-2</v>
      </c>
      <c r="AR68" s="117">
        <v>-3.5218522775234078</v>
      </c>
      <c r="AS68" s="117">
        <v>-1.3248623462516207</v>
      </c>
      <c r="AT68" s="117">
        <v>-1.1512248557093585</v>
      </c>
      <c r="AU68" s="117">
        <v>8.5121290289595919</v>
      </c>
      <c r="AV68" s="117">
        <v>3.0073956001060367</v>
      </c>
      <c r="AW68" s="117">
        <v>2.4184411090564026</v>
      </c>
      <c r="AX68" s="117">
        <v>-0.16256762761035759</v>
      </c>
      <c r="AY68" s="117">
        <v>0.7106181445000459</v>
      </c>
      <c r="AZ68" s="117">
        <v>-1.4420799871798948</v>
      </c>
      <c r="BA68" s="117">
        <v>-2.2365364831078409</v>
      </c>
      <c r="BB68" s="117">
        <v>-3.2283736661884603</v>
      </c>
      <c r="BC68" s="117">
        <v>-4.8673684642935484</v>
      </c>
      <c r="BD68" s="117">
        <v>-1.9889594302768643</v>
      </c>
      <c r="BE68" s="117">
        <v>-0.65410308930472638</v>
      </c>
      <c r="BF68" s="117">
        <v>1.5041011102213844</v>
      </c>
      <c r="BG68" s="117">
        <v>8.940020560456972</v>
      </c>
      <c r="BH68" s="117">
        <v>5.4754471299820437</v>
      </c>
      <c r="BI68" s="117">
        <v>5.4499485984385672</v>
      </c>
      <c r="BJ68" s="117">
        <v>2.9524327320796857</v>
      </c>
      <c r="BK68" s="117">
        <v>-10.84365354363608</v>
      </c>
      <c r="BL68" s="117">
        <v>-21.228518771863875</v>
      </c>
      <c r="BM68" s="117">
        <v>-19.943870819975615</v>
      </c>
      <c r="BN68" s="117">
        <v>-20.680621495544855</v>
      </c>
      <c r="BO68" s="117">
        <v>-3.9821698373121706</v>
      </c>
      <c r="BP68" s="117">
        <v>11.684675876740755</v>
      </c>
      <c r="BQ68" s="117">
        <v>10.59462550586116</v>
      </c>
      <c r="BR68" s="117">
        <v>11.56635313929884</v>
      </c>
      <c r="BS68" s="117">
        <v>18.330376927221465</v>
      </c>
      <c r="BT68" s="117">
        <v>12.636248971568165</v>
      </c>
      <c r="BU68" s="117">
        <v>14.023474974153501</v>
      </c>
      <c r="BV68" s="117">
        <v>16.042896508954314</v>
      </c>
      <c r="BW68" s="117">
        <v>-0.40017525248828179</v>
      </c>
      <c r="BX68" s="117">
        <v>-6.6075687077572525</v>
      </c>
      <c r="BY68" s="117">
        <v>-13.908726278353072</v>
      </c>
      <c r="BZ68" s="117">
        <v>-16.102327269793889</v>
      </c>
      <c r="CA68" s="117">
        <v>-11.681392167171538</v>
      </c>
      <c r="CB68" s="117">
        <v>-5.6586400060560891</v>
      </c>
      <c r="CC68" s="117">
        <v>1.8689905117088728</v>
      </c>
      <c r="CD68" s="117">
        <v>2.3929425621672209</v>
      </c>
      <c r="CE68" s="117">
        <v>7.8995244945611773</v>
      </c>
      <c r="CF68" s="117">
        <v>6.5640316445295213</v>
      </c>
      <c r="CG68" s="117">
        <v>4.705895394986598</v>
      </c>
      <c r="CH68" s="118">
        <v>2.0889920449185269</v>
      </c>
    </row>
    <row r="69" spans="1:86" x14ac:dyDescent="0.2">
      <c r="A69" s="100" t="s">
        <v>66</v>
      </c>
      <c r="B69" s="101" t="s">
        <v>67</v>
      </c>
      <c r="C69" s="125"/>
      <c r="D69" s="125"/>
      <c r="E69" s="125"/>
      <c r="F69" s="125"/>
      <c r="G69" s="126">
        <v>11.638125618368505</v>
      </c>
      <c r="H69" s="126">
        <v>13.250261849671105</v>
      </c>
      <c r="I69" s="126">
        <v>17.742476348579743</v>
      </c>
      <c r="J69" s="126">
        <v>18.771672601177585</v>
      </c>
      <c r="K69" s="126">
        <v>28.932454974341084</v>
      </c>
      <c r="L69" s="126">
        <v>28.670423776293035</v>
      </c>
      <c r="M69" s="126">
        <v>25.081398171873587</v>
      </c>
      <c r="N69" s="126">
        <v>19.891251102184768</v>
      </c>
      <c r="O69" s="126">
        <v>-9.6931927231334214</v>
      </c>
      <c r="P69" s="126">
        <v>-3.1531039134498684</v>
      </c>
      <c r="Q69" s="126">
        <v>-2.956817587578584</v>
      </c>
      <c r="R69" s="126">
        <v>-2.7154682814019395</v>
      </c>
      <c r="S69" s="126">
        <v>7.0507811858745413</v>
      </c>
      <c r="T69" s="126">
        <v>4.3293208252330544</v>
      </c>
      <c r="U69" s="126">
        <v>5.1021450370487145</v>
      </c>
      <c r="V69" s="126">
        <v>4.4552708945820854</v>
      </c>
      <c r="W69" s="126">
        <v>-0.49944204980536711</v>
      </c>
      <c r="X69" s="126">
        <v>5.2466687644950838</v>
      </c>
      <c r="Y69" s="126">
        <v>4.8890492820222988</v>
      </c>
      <c r="Z69" s="126">
        <v>7.104717178377868</v>
      </c>
      <c r="AA69" s="126">
        <v>18.105952620820204</v>
      </c>
      <c r="AB69" s="126">
        <v>12.736863352779281</v>
      </c>
      <c r="AC69" s="126">
        <v>13.731183114341647</v>
      </c>
      <c r="AD69" s="126">
        <v>12.21196945693714</v>
      </c>
      <c r="AE69" s="126">
        <v>4.6177297161068509</v>
      </c>
      <c r="AF69" s="126">
        <v>6.3732931968366842</v>
      </c>
      <c r="AG69" s="126">
        <v>4.7809535873033298</v>
      </c>
      <c r="AH69" s="126">
        <v>3.3341362559717425</v>
      </c>
      <c r="AI69" s="126">
        <v>9.7302992893339564</v>
      </c>
      <c r="AJ69" s="126">
        <v>8.0228629587153506</v>
      </c>
      <c r="AK69" s="126">
        <v>6.6385287937676054</v>
      </c>
      <c r="AL69" s="126">
        <v>8.4798332005931059</v>
      </c>
      <c r="AM69" s="126">
        <v>11.963956061316622</v>
      </c>
      <c r="AN69" s="126">
        <v>9.798266490531077</v>
      </c>
      <c r="AO69" s="126">
        <v>11.306127404837738</v>
      </c>
      <c r="AP69" s="126">
        <v>9.2065443823008195</v>
      </c>
      <c r="AQ69" s="126">
        <v>4.8640858377319915</v>
      </c>
      <c r="AR69" s="126">
        <v>5.6141236184297441</v>
      </c>
      <c r="AS69" s="126">
        <v>4.9356090032585769</v>
      </c>
      <c r="AT69" s="126">
        <v>2.8083101493793379</v>
      </c>
      <c r="AU69" s="126">
        <v>-5.6511658056922727</v>
      </c>
      <c r="AV69" s="126">
        <v>-4.1911733910791185</v>
      </c>
      <c r="AW69" s="126">
        <v>-5.034082899418479</v>
      </c>
      <c r="AX69" s="126">
        <v>-2.8900289747202095</v>
      </c>
      <c r="AY69" s="126">
        <v>4.9865981598262721</v>
      </c>
      <c r="AZ69" s="126">
        <v>1.5025056742735217</v>
      </c>
      <c r="BA69" s="126">
        <v>2.7737852460200969</v>
      </c>
      <c r="BB69" s="126">
        <v>1.8542749056986025</v>
      </c>
      <c r="BC69" s="126">
        <v>-2.6650221081260668</v>
      </c>
      <c r="BD69" s="126">
        <v>0.91864302380535889</v>
      </c>
      <c r="BE69" s="126">
        <v>1.0035210743155005</v>
      </c>
      <c r="BF69" s="126">
        <v>1.0368403513109286</v>
      </c>
      <c r="BG69" s="126">
        <v>13.219209300904396</v>
      </c>
      <c r="BH69" s="126">
        <v>6.4737387865779965</v>
      </c>
      <c r="BI69" s="126">
        <v>4.7182518240605305</v>
      </c>
      <c r="BJ69" s="126">
        <v>2.2364676153744085</v>
      </c>
      <c r="BK69" s="126">
        <v>-10.98230439836415</v>
      </c>
      <c r="BL69" s="126">
        <v>-27.91095602584052</v>
      </c>
      <c r="BM69" s="126">
        <v>-27.106223195497009</v>
      </c>
      <c r="BN69" s="126">
        <v>-23.621727660150185</v>
      </c>
      <c r="BO69" s="126">
        <v>5.0135957215592839</v>
      </c>
      <c r="BP69" s="126">
        <v>20.248022850195312</v>
      </c>
      <c r="BQ69" s="126">
        <v>18.191287144484946</v>
      </c>
      <c r="BR69" s="126">
        <v>16.696075158567396</v>
      </c>
      <c r="BS69" s="126">
        <v>13.411499808997689</v>
      </c>
      <c r="BT69" s="126">
        <v>12.141644363851498</v>
      </c>
      <c r="BU69" s="126">
        <v>12.643058019036474</v>
      </c>
      <c r="BV69" s="126">
        <v>11.49804425243741</v>
      </c>
      <c r="BW69" s="126">
        <v>-5.1317244436884835</v>
      </c>
      <c r="BX69" s="126">
        <v>-8.8316507227979315</v>
      </c>
      <c r="BY69" s="126">
        <v>-11.230285709296666</v>
      </c>
      <c r="BZ69" s="126">
        <v>-12.816189753121975</v>
      </c>
      <c r="CA69" s="126">
        <v>-9.8709690829694807</v>
      </c>
      <c r="CB69" s="126">
        <v>-5.2096172645437946</v>
      </c>
      <c r="CC69" s="126">
        <v>-2.7423993845086301</v>
      </c>
      <c r="CD69" s="126">
        <v>0.66963749489514157</v>
      </c>
      <c r="CE69" s="126">
        <v>1.9355908036847751</v>
      </c>
      <c r="CF69" s="126">
        <v>2.025502381296107</v>
      </c>
      <c r="CG69" s="126">
        <v>3.0590119855481817</v>
      </c>
      <c r="CH69" s="127">
        <v>1.3374095131328971</v>
      </c>
    </row>
    <row r="70" spans="1:86" s="38" customFormat="1" x14ac:dyDescent="0.2">
      <c r="A70" s="104" t="s">
        <v>68</v>
      </c>
      <c r="B70" s="105" t="s">
        <v>69</v>
      </c>
      <c r="C70" s="110"/>
      <c r="D70" s="110"/>
      <c r="E70" s="110"/>
      <c r="F70" s="110"/>
      <c r="G70" s="117">
        <v>12.63505758076758</v>
      </c>
      <c r="H70" s="117">
        <v>8.9836024055694566</v>
      </c>
      <c r="I70" s="117">
        <v>8.5381884055575625</v>
      </c>
      <c r="J70" s="117">
        <v>9.5182978723404403</v>
      </c>
      <c r="K70" s="117">
        <v>1.8455467295167836</v>
      </c>
      <c r="L70" s="117">
        <v>1.4696355433105595</v>
      </c>
      <c r="M70" s="117">
        <v>3.8611398153563385</v>
      </c>
      <c r="N70" s="117">
        <v>6.2198874762985099</v>
      </c>
      <c r="O70" s="117">
        <v>13.790024211564685</v>
      </c>
      <c r="P70" s="117">
        <v>12.958572540936558</v>
      </c>
      <c r="Q70" s="117">
        <v>8.2161431321669909</v>
      </c>
      <c r="R70" s="117">
        <v>2.0367552382066947</v>
      </c>
      <c r="S70" s="117">
        <v>-5.719515337211206</v>
      </c>
      <c r="T70" s="117">
        <v>-8.0440634304109437</v>
      </c>
      <c r="U70" s="117">
        <v>-7.7738333417860872</v>
      </c>
      <c r="V70" s="117">
        <v>-5.206301862261455</v>
      </c>
      <c r="W70" s="117">
        <v>-0.85194649618868823</v>
      </c>
      <c r="X70" s="117">
        <v>1.9419241035741663</v>
      </c>
      <c r="Y70" s="117">
        <v>1.914565098873112</v>
      </c>
      <c r="Z70" s="117">
        <v>2.0623651142620787</v>
      </c>
      <c r="AA70" s="117">
        <v>13.341329782054373</v>
      </c>
      <c r="AB70" s="117">
        <v>12.386420596096002</v>
      </c>
      <c r="AC70" s="117">
        <v>12.194454825884478</v>
      </c>
      <c r="AD70" s="117">
        <v>12.257541772477111</v>
      </c>
      <c r="AE70" s="117">
        <v>8.5439493808797522</v>
      </c>
      <c r="AF70" s="117">
        <v>5.3600517906305498</v>
      </c>
      <c r="AG70" s="117">
        <v>5.7632162106994116</v>
      </c>
      <c r="AH70" s="117">
        <v>4.4732765298218311</v>
      </c>
      <c r="AI70" s="117">
        <v>-2.9367238594743412</v>
      </c>
      <c r="AJ70" s="117">
        <v>2.7849924300539612</v>
      </c>
      <c r="AK70" s="117">
        <v>2.1652789179506442</v>
      </c>
      <c r="AL70" s="117">
        <v>4.6768893756845529</v>
      </c>
      <c r="AM70" s="117">
        <v>5.5613578583744356</v>
      </c>
      <c r="AN70" s="117">
        <v>1.1785901215525314</v>
      </c>
      <c r="AO70" s="117">
        <v>1.7837027680757274</v>
      </c>
      <c r="AP70" s="117">
        <v>-0.28895453191779552</v>
      </c>
      <c r="AQ70" s="117">
        <v>0.27169252456641857</v>
      </c>
      <c r="AR70" s="117">
        <v>3.2478516018985033</v>
      </c>
      <c r="AS70" s="117">
        <v>1.1549129765139838</v>
      </c>
      <c r="AT70" s="117">
        <v>1.6580294150885493</v>
      </c>
      <c r="AU70" s="117">
        <v>-1.6914923142269345</v>
      </c>
      <c r="AV70" s="117">
        <v>-3.1517146703008478</v>
      </c>
      <c r="AW70" s="117">
        <v>-1.7870894358142095</v>
      </c>
      <c r="AX70" s="117">
        <v>-0.20883623427772591</v>
      </c>
      <c r="AY70" s="117">
        <v>3.1293425823906773</v>
      </c>
      <c r="AZ70" s="117">
        <v>3.1263114235796365</v>
      </c>
      <c r="BA70" s="117">
        <v>3.3508492177476228</v>
      </c>
      <c r="BB70" s="117">
        <v>2.5693665305992539</v>
      </c>
      <c r="BC70" s="117">
        <v>-2.3173910976528589</v>
      </c>
      <c r="BD70" s="117">
        <v>-1.2292418783167136</v>
      </c>
      <c r="BE70" s="117">
        <v>-0.29088841545443245</v>
      </c>
      <c r="BF70" s="117">
        <v>0.64234845076103397</v>
      </c>
      <c r="BG70" s="117">
        <v>6.9106479949973618</v>
      </c>
      <c r="BH70" s="117">
        <v>6.7986711559958195</v>
      </c>
      <c r="BI70" s="117">
        <v>5.3580713025670264</v>
      </c>
      <c r="BJ70" s="117">
        <v>3.084097741463026</v>
      </c>
      <c r="BK70" s="117">
        <v>-7.0847091192592728</v>
      </c>
      <c r="BL70" s="117">
        <v>-19.445397980811791</v>
      </c>
      <c r="BM70" s="117">
        <v>-22.330759074805485</v>
      </c>
      <c r="BN70" s="117">
        <v>-22.459265241417469</v>
      </c>
      <c r="BO70" s="117">
        <v>-10.127756750301259</v>
      </c>
      <c r="BP70" s="117">
        <v>0.33226511228492939</v>
      </c>
      <c r="BQ70" s="117">
        <v>8.3476396617527087</v>
      </c>
      <c r="BR70" s="117">
        <v>14.634122820552392</v>
      </c>
      <c r="BS70" s="117">
        <v>17.012063733032505</v>
      </c>
      <c r="BT70" s="117">
        <v>20.909195932161964</v>
      </c>
      <c r="BU70" s="117">
        <v>18.425671551714288</v>
      </c>
      <c r="BV70" s="117">
        <v>12.460566496454135</v>
      </c>
      <c r="BW70" s="117">
        <v>3.2341177376706867</v>
      </c>
      <c r="BX70" s="117">
        <v>2.3877098002489845</v>
      </c>
      <c r="BY70" s="117">
        <v>1.7066223399290266</v>
      </c>
      <c r="BZ70" s="117">
        <v>3.1133352782328245</v>
      </c>
      <c r="CA70" s="117">
        <v>-0.23239467360048138</v>
      </c>
      <c r="CB70" s="117">
        <v>6.6432542026234387E-2</v>
      </c>
      <c r="CC70" s="117">
        <v>-0.28488496195483037</v>
      </c>
      <c r="CD70" s="117">
        <v>0.39029344553665624</v>
      </c>
      <c r="CE70" s="117">
        <v>3.2580409868050708</v>
      </c>
      <c r="CF70" s="117">
        <v>1.7882504929670091</v>
      </c>
      <c r="CG70" s="117">
        <v>2.0989800271314323</v>
      </c>
      <c r="CH70" s="118">
        <v>1.8434401125673787</v>
      </c>
    </row>
    <row r="71" spans="1:86" x14ac:dyDescent="0.2">
      <c r="A71" s="92" t="s">
        <v>70</v>
      </c>
      <c r="B71" s="93" t="s">
        <v>71</v>
      </c>
      <c r="C71" s="119"/>
      <c r="D71" s="119"/>
      <c r="E71" s="119"/>
      <c r="F71" s="119"/>
      <c r="G71" s="120">
        <v>15.423618570917967</v>
      </c>
      <c r="H71" s="120">
        <v>16.456616193815265</v>
      </c>
      <c r="I71" s="120">
        <v>18.276500845098198</v>
      </c>
      <c r="J71" s="120">
        <v>17.681811251715203</v>
      </c>
      <c r="K71" s="120">
        <v>15.765295533200458</v>
      </c>
      <c r="L71" s="120">
        <v>13.086447332238976</v>
      </c>
      <c r="M71" s="120">
        <v>12.927646484708106</v>
      </c>
      <c r="N71" s="120">
        <v>13.858029689608628</v>
      </c>
      <c r="O71" s="120">
        <v>16.970581031818853</v>
      </c>
      <c r="P71" s="120">
        <v>13.89533846853746</v>
      </c>
      <c r="Q71" s="120">
        <v>12.285665596533107</v>
      </c>
      <c r="R71" s="120">
        <v>12.511734195579422</v>
      </c>
      <c r="S71" s="120">
        <v>0.2671970833480799</v>
      </c>
      <c r="T71" s="120">
        <v>-3.9800412572605524</v>
      </c>
      <c r="U71" s="120">
        <v>-7.0863361509534144</v>
      </c>
      <c r="V71" s="120">
        <v>-8.6476874325782092</v>
      </c>
      <c r="W71" s="120">
        <v>-0.2576718849800983</v>
      </c>
      <c r="X71" s="120">
        <v>6.2290397528997232</v>
      </c>
      <c r="Y71" s="120">
        <v>9.4788218177870078</v>
      </c>
      <c r="Z71" s="120">
        <v>10.829835324507584</v>
      </c>
      <c r="AA71" s="120">
        <v>19.214571030108687</v>
      </c>
      <c r="AB71" s="120">
        <v>20.92784404053765</v>
      </c>
      <c r="AC71" s="120">
        <v>20.554162648851417</v>
      </c>
      <c r="AD71" s="120">
        <v>20.229077530091374</v>
      </c>
      <c r="AE71" s="120">
        <v>14.615698079482314</v>
      </c>
      <c r="AF71" s="120">
        <v>12.022767878122181</v>
      </c>
      <c r="AG71" s="120">
        <v>11.39677251403468</v>
      </c>
      <c r="AH71" s="120">
        <v>9.3750865435210358</v>
      </c>
      <c r="AI71" s="120">
        <v>6.740081194343972</v>
      </c>
      <c r="AJ71" s="120">
        <v>8.2768196309922075</v>
      </c>
      <c r="AK71" s="120">
        <v>8.3385757623288441</v>
      </c>
      <c r="AL71" s="120">
        <v>8.5240256493033968</v>
      </c>
      <c r="AM71" s="120">
        <v>8.4607985248679682</v>
      </c>
      <c r="AN71" s="120">
        <v>7.7436439678849212</v>
      </c>
      <c r="AO71" s="120">
        <v>6.6071139324807007</v>
      </c>
      <c r="AP71" s="120">
        <v>7.7600135321943782</v>
      </c>
      <c r="AQ71" s="120">
        <v>1.5171606121202217</v>
      </c>
      <c r="AR71" s="120">
        <v>-0.9036720222117367</v>
      </c>
      <c r="AS71" s="120">
        <v>0.83244672994882762</v>
      </c>
      <c r="AT71" s="120">
        <v>-1.0809377148207915</v>
      </c>
      <c r="AU71" s="120">
        <v>-2.1369694220816342</v>
      </c>
      <c r="AV71" s="120">
        <v>-1.8962270011120239</v>
      </c>
      <c r="AW71" s="120">
        <v>-4.2650273993396155</v>
      </c>
      <c r="AX71" s="120">
        <v>-3.5409028727770249</v>
      </c>
      <c r="AY71" s="120">
        <v>2.4592548703409705</v>
      </c>
      <c r="AZ71" s="120">
        <v>2.5122520778061812</v>
      </c>
      <c r="BA71" s="120">
        <v>2.1637644327463477</v>
      </c>
      <c r="BB71" s="120">
        <v>1.0188394533665388</v>
      </c>
      <c r="BC71" s="120">
        <v>-1.3976376030697395</v>
      </c>
      <c r="BD71" s="120">
        <v>1.6380409940545348</v>
      </c>
      <c r="BE71" s="120">
        <v>2.7864822680886192</v>
      </c>
      <c r="BF71" s="120">
        <v>5.8054190650006916</v>
      </c>
      <c r="BG71" s="120">
        <v>11.885350293532099</v>
      </c>
      <c r="BH71" s="120">
        <v>10.447073801807278</v>
      </c>
      <c r="BI71" s="120">
        <v>10.625632343612509</v>
      </c>
      <c r="BJ71" s="120">
        <v>7.3439730804137895</v>
      </c>
      <c r="BK71" s="120">
        <v>-4.3160674068780907</v>
      </c>
      <c r="BL71" s="120">
        <v>-19.454492050498374</v>
      </c>
      <c r="BM71" s="120">
        <v>-21.579154780510862</v>
      </c>
      <c r="BN71" s="120">
        <v>-20.092459826946865</v>
      </c>
      <c r="BO71" s="120">
        <v>-5.2312769217248416</v>
      </c>
      <c r="BP71" s="120">
        <v>16.56910490992027</v>
      </c>
      <c r="BQ71" s="120">
        <v>24.123626392972298</v>
      </c>
      <c r="BR71" s="120">
        <v>26.728666629540939</v>
      </c>
      <c r="BS71" s="120">
        <v>38.833649612532554</v>
      </c>
      <c r="BT71" s="120">
        <v>31.807957847047334</v>
      </c>
      <c r="BU71" s="120">
        <v>28.873162798192197</v>
      </c>
      <c r="BV71" s="120">
        <v>24.003222498901437</v>
      </c>
      <c r="BW71" s="120">
        <v>-1.6411993645822633</v>
      </c>
      <c r="BX71" s="120">
        <v>-4.881008794450409</v>
      </c>
      <c r="BY71" s="120">
        <v>-9.6619286370500816</v>
      </c>
      <c r="BZ71" s="120">
        <v>-10.029885301865164</v>
      </c>
      <c r="CA71" s="120">
        <v>-11.094991418218441</v>
      </c>
      <c r="CB71" s="120">
        <v>-5.4587954633142317</v>
      </c>
      <c r="CC71" s="120">
        <v>-0.99966616527667895</v>
      </c>
      <c r="CD71" s="120">
        <v>1.1636863342348676</v>
      </c>
      <c r="CE71" s="120">
        <v>12.690599525127894</v>
      </c>
      <c r="CF71" s="120">
        <v>11.506930793125861</v>
      </c>
      <c r="CG71" s="120">
        <v>10.958680133547574</v>
      </c>
      <c r="CH71" s="121">
        <v>8.4193133174436809</v>
      </c>
    </row>
    <row r="72" spans="1:86" x14ac:dyDescent="0.2">
      <c r="A72" s="106" t="s">
        <v>42</v>
      </c>
      <c r="B72" s="107" t="s">
        <v>46</v>
      </c>
      <c r="C72" s="128"/>
      <c r="D72" s="128"/>
      <c r="E72" s="128"/>
      <c r="F72" s="128"/>
      <c r="G72" s="129">
        <v>6.3755741455926511</v>
      </c>
      <c r="H72" s="129">
        <v>5.8398307574499881</v>
      </c>
      <c r="I72" s="129">
        <v>6.4635790142163216</v>
      </c>
      <c r="J72" s="129">
        <v>6.7168686984440313</v>
      </c>
      <c r="K72" s="129">
        <v>6.7128663746102148</v>
      </c>
      <c r="L72" s="129">
        <v>6.7880533956449653</v>
      </c>
      <c r="M72" s="129">
        <v>6.8111415154858577</v>
      </c>
      <c r="N72" s="129">
        <v>6.7381946909097508</v>
      </c>
      <c r="O72" s="129">
        <v>5.1743786969130383</v>
      </c>
      <c r="P72" s="129">
        <v>4.9771747033429392</v>
      </c>
      <c r="Q72" s="129">
        <v>4.400739468614546</v>
      </c>
      <c r="R72" s="129">
        <v>3.2834461861654063</v>
      </c>
      <c r="S72" s="129">
        <v>0.14508701496795595</v>
      </c>
      <c r="T72" s="129">
        <v>0.42348682082662492</v>
      </c>
      <c r="U72" s="129">
        <v>0.46095764968984554</v>
      </c>
      <c r="V72" s="129">
        <v>1.1396486454806336</v>
      </c>
      <c r="W72" s="129">
        <v>3.8803501804015781</v>
      </c>
      <c r="X72" s="129">
        <v>4.2578885758638592</v>
      </c>
      <c r="Y72" s="129">
        <v>4.1854153019589688</v>
      </c>
      <c r="Z72" s="129">
        <v>4.4946589707092244</v>
      </c>
      <c r="AA72" s="129">
        <v>6.7991976972209329</v>
      </c>
      <c r="AB72" s="129">
        <v>6.7907430821515931</v>
      </c>
      <c r="AC72" s="129">
        <v>7.1785509222384718</v>
      </c>
      <c r="AD72" s="129">
        <v>6.9478919817355376</v>
      </c>
      <c r="AE72" s="129">
        <v>6.135156113255988</v>
      </c>
      <c r="AF72" s="129">
        <v>5.4789254541778973</v>
      </c>
      <c r="AG72" s="129">
        <v>4.3597382970604883</v>
      </c>
      <c r="AH72" s="129">
        <v>3.9126357671611629</v>
      </c>
      <c r="AI72" s="129">
        <v>2.3818401066837254</v>
      </c>
      <c r="AJ72" s="129">
        <v>3.8955174679819606</v>
      </c>
      <c r="AK72" s="129">
        <v>4.6939145809717502</v>
      </c>
      <c r="AL72" s="129">
        <v>5.1339935199567179</v>
      </c>
      <c r="AM72" s="129">
        <v>6.6000142839710776</v>
      </c>
      <c r="AN72" s="129">
        <v>4.9707735829889259</v>
      </c>
      <c r="AO72" s="129">
        <v>4.7693931868114277</v>
      </c>
      <c r="AP72" s="129">
        <v>4.4990300011096878</v>
      </c>
      <c r="AQ72" s="129">
        <v>2.828076886173946</v>
      </c>
      <c r="AR72" s="129">
        <v>3.1285568693342185</v>
      </c>
      <c r="AS72" s="129">
        <v>3.2819408355032778</v>
      </c>
      <c r="AT72" s="129">
        <v>2.9559013752752321</v>
      </c>
      <c r="AU72" s="129">
        <v>2.3747843586882027</v>
      </c>
      <c r="AV72" s="129">
        <v>2.2466521318059733</v>
      </c>
      <c r="AW72" s="129">
        <v>2.0092354626776796</v>
      </c>
      <c r="AX72" s="129">
        <v>2.0873825016279426</v>
      </c>
      <c r="AY72" s="129">
        <v>1.0694631972319826</v>
      </c>
      <c r="AZ72" s="129">
        <v>1.170940418982866</v>
      </c>
      <c r="BA72" s="129">
        <v>1.3487500644575618</v>
      </c>
      <c r="BB72" s="129">
        <v>1.3593608678874602</v>
      </c>
      <c r="BC72" s="129">
        <v>1.6492417488619253</v>
      </c>
      <c r="BD72" s="129">
        <v>2.2065152411030624</v>
      </c>
      <c r="BE72" s="129">
        <v>2.4382593035617788</v>
      </c>
      <c r="BF72" s="129">
        <v>2.5643242827770365</v>
      </c>
      <c r="BG72" s="129">
        <v>3.4755274143507364</v>
      </c>
      <c r="BH72" s="129">
        <v>3.271449902158821</v>
      </c>
      <c r="BI72" s="129">
        <v>3.2215703792508634</v>
      </c>
      <c r="BJ72" s="129">
        <v>3.1868553924553567</v>
      </c>
      <c r="BK72" s="129">
        <v>0.34608976169481309</v>
      </c>
      <c r="BL72" s="129">
        <v>-8.3304749265752776</v>
      </c>
      <c r="BM72" s="129">
        <v>-8.5890432034410225</v>
      </c>
      <c r="BN72" s="129">
        <v>-7.1859141376086058</v>
      </c>
      <c r="BO72" s="129">
        <v>1.4997003938947273</v>
      </c>
      <c r="BP72" s="129">
        <v>9.3208752575319096</v>
      </c>
      <c r="BQ72" s="129">
        <v>10.693916314077939</v>
      </c>
      <c r="BR72" s="129">
        <v>10.801198190487838</v>
      </c>
      <c r="BS72" s="129">
        <v>8.1051367162309589</v>
      </c>
      <c r="BT72" s="129">
        <v>10.248386551150432</v>
      </c>
      <c r="BU72" s="129">
        <v>9.2485339798360258</v>
      </c>
      <c r="BV72" s="129">
        <v>7.3282772942797862</v>
      </c>
      <c r="BW72" s="129">
        <v>2.8075118927961569</v>
      </c>
      <c r="BX72" s="129">
        <v>1.5817590080784214</v>
      </c>
      <c r="BY72" s="129">
        <v>0.88147833436782719</v>
      </c>
      <c r="BZ72" s="129">
        <v>0.84181955575203915</v>
      </c>
      <c r="CA72" s="129">
        <v>0.31878092683700743</v>
      </c>
      <c r="CB72" s="129">
        <v>0.96497071444711935</v>
      </c>
      <c r="CC72" s="129">
        <v>1.1832539934157182</v>
      </c>
      <c r="CD72" s="129">
        <v>1.4933072877106639</v>
      </c>
      <c r="CE72" s="129">
        <v>2.5930290378729524</v>
      </c>
      <c r="CF72" s="129">
        <v>2.3516140447574969</v>
      </c>
      <c r="CG72" s="129">
        <v>2.777943131897004</v>
      </c>
      <c r="CH72" s="130">
        <v>2.6420088399371053</v>
      </c>
    </row>
    <row r="74" spans="1:86" ht="12" customHeight="1" x14ac:dyDescent="0.2">
      <c r="A74" s="111" t="s">
        <v>72</v>
      </c>
      <c r="B74" s="47"/>
      <c r="C74" s="17"/>
      <c r="D74" s="132"/>
      <c r="E74" s="17"/>
      <c r="F74" s="17"/>
      <c r="G74" s="138"/>
    </row>
    <row r="75" spans="1:86" ht="12" customHeight="1" x14ac:dyDescent="0.2">
      <c r="A75" s="113" t="s">
        <v>48</v>
      </c>
      <c r="B75" s="50"/>
      <c r="G75" s="18"/>
    </row>
    <row r="76" spans="1:86" ht="12" customHeight="1" x14ac:dyDescent="0.2">
      <c r="A76" s="113" t="s">
        <v>49</v>
      </c>
      <c r="B76" s="50"/>
      <c r="G76" s="18"/>
    </row>
    <row r="77" spans="1:86" ht="12" customHeight="1" x14ac:dyDescent="0.2">
      <c r="A77" s="113" t="s">
        <v>73</v>
      </c>
      <c r="B77" s="50"/>
      <c r="G77" s="18"/>
    </row>
    <row r="78" spans="1:86" ht="12" customHeight="1" x14ac:dyDescent="0.2">
      <c r="A78" s="49" t="s">
        <v>74</v>
      </c>
      <c r="B78" s="50"/>
      <c r="G78" s="18"/>
    </row>
    <row r="79" spans="1:86" ht="12" customHeight="1" x14ac:dyDescent="0.2">
      <c r="A79" s="52" t="s">
        <v>50</v>
      </c>
      <c r="B79" s="53"/>
      <c r="C79" s="134"/>
      <c r="D79" s="135"/>
      <c r="E79" s="134"/>
      <c r="F79" s="134"/>
      <c r="G79" s="139"/>
    </row>
    <row r="88" spans="7:61" x14ac:dyDescent="0.2"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</row>
    <row r="89" spans="7:61" x14ac:dyDescent="0.2"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</row>
    <row r="90" spans="7:61" x14ac:dyDescent="0.2"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</row>
    <row r="91" spans="7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7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7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7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7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7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0" spans="7:61" x14ac:dyDescent="0.2"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9" spans="7:61" x14ac:dyDescent="0.2"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41"/>
      <c r="AF109" s="141"/>
      <c r="AG109" s="141"/>
      <c r="AH109" s="141"/>
      <c r="AI109" s="141"/>
      <c r="AJ109" s="141"/>
      <c r="AK109" s="141"/>
      <c r="AL109" s="141"/>
      <c r="AM109" s="141"/>
      <c r="AN109" s="141"/>
      <c r="AO109" s="141"/>
      <c r="AP109" s="141"/>
      <c r="AQ109" s="141"/>
      <c r="AR109" s="141"/>
      <c r="AS109" s="141"/>
      <c r="AT109" s="141"/>
      <c r="AU109" s="141"/>
      <c r="AV109" s="141"/>
      <c r="AW109" s="141"/>
      <c r="AX109" s="141"/>
      <c r="AY109" s="141"/>
      <c r="AZ109" s="141"/>
      <c r="BA109" s="141"/>
      <c r="BB109" s="141"/>
      <c r="BC109" s="141"/>
      <c r="BD109" s="141"/>
      <c r="BE109" s="141"/>
      <c r="BF109" s="141"/>
      <c r="BG109" s="141"/>
      <c r="BH109" s="141"/>
      <c r="BI109" s="141"/>
    </row>
    <row r="110" spans="7:61" x14ac:dyDescent="0.2"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  <c r="AE110" s="141"/>
      <c r="AF110" s="141"/>
      <c r="AG110" s="141"/>
      <c r="AH110" s="141"/>
      <c r="AI110" s="141"/>
      <c r="AJ110" s="141"/>
      <c r="AK110" s="141"/>
      <c r="AL110" s="141"/>
      <c r="AM110" s="141"/>
      <c r="AN110" s="141"/>
      <c r="AO110" s="141"/>
      <c r="AP110" s="141"/>
      <c r="AQ110" s="141"/>
      <c r="AR110" s="141"/>
      <c r="AS110" s="141"/>
      <c r="AT110" s="141"/>
      <c r="AU110" s="141"/>
      <c r="AV110" s="141"/>
      <c r="AW110" s="141"/>
      <c r="AX110" s="141"/>
      <c r="AY110" s="141"/>
      <c r="AZ110" s="141"/>
      <c r="BA110" s="141"/>
      <c r="BB110" s="141"/>
      <c r="BC110" s="141"/>
      <c r="BD110" s="141"/>
      <c r="BE110" s="141"/>
      <c r="BF110" s="141"/>
      <c r="BG110" s="141"/>
      <c r="BH110" s="141"/>
      <c r="BI110" s="141"/>
    </row>
    <row r="111" spans="7:61" x14ac:dyDescent="0.2"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  <c r="AS111" s="141"/>
      <c r="AT111" s="141"/>
      <c r="AU111" s="141"/>
      <c r="AV111" s="141"/>
      <c r="AW111" s="141"/>
      <c r="AX111" s="141"/>
      <c r="AY111" s="141"/>
      <c r="AZ111" s="141"/>
      <c r="BA111" s="141"/>
      <c r="BB111" s="141"/>
      <c r="BC111" s="141"/>
      <c r="BD111" s="141"/>
      <c r="BE111" s="141"/>
      <c r="BF111" s="141"/>
      <c r="BG111" s="141"/>
      <c r="BH111" s="141"/>
      <c r="BI111" s="141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9" spans="7:61" x14ac:dyDescent="0.2"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</row>
    <row r="120" spans="7:61" x14ac:dyDescent="0.2"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</row>
    <row r="121" spans="7:61" x14ac:dyDescent="0.2"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4:AX34"/>
    <mergeCell ref="CE10:CH10"/>
    <mergeCell ref="A28:G29"/>
    <mergeCell ref="A34:A35"/>
    <mergeCell ref="B34:B35"/>
    <mergeCell ref="C34:F34"/>
    <mergeCell ref="G34:J34"/>
    <mergeCell ref="K34:N34"/>
    <mergeCell ref="O34:R34"/>
    <mergeCell ref="S34:V34"/>
    <mergeCell ref="W34:Z34"/>
    <mergeCell ref="BG10:BJ10"/>
    <mergeCell ref="BK10:BN10"/>
    <mergeCell ref="BO10:BR10"/>
    <mergeCell ref="BS10:BV10"/>
    <mergeCell ref="BW10:BZ10"/>
    <mergeCell ref="AA34:AD34"/>
    <mergeCell ref="AE34:AH34"/>
    <mergeCell ref="AI34:AL34"/>
    <mergeCell ref="AM34:AP34"/>
    <mergeCell ref="AQ34:AT34"/>
    <mergeCell ref="BW34:BZ34"/>
    <mergeCell ref="CA34:CD34"/>
    <mergeCell ref="CE34:CH34"/>
    <mergeCell ref="A55:G56"/>
    <mergeCell ref="A61:A62"/>
    <mergeCell ref="B61:B62"/>
    <mergeCell ref="C61:F61"/>
    <mergeCell ref="G61:J61"/>
    <mergeCell ref="K61:N61"/>
    <mergeCell ref="O61:R61"/>
    <mergeCell ref="AY34:BB34"/>
    <mergeCell ref="BC34:BF34"/>
    <mergeCell ref="BG34:BJ34"/>
    <mergeCell ref="BK34:BN34"/>
    <mergeCell ref="BO34:BR34"/>
    <mergeCell ref="BS34:BV34"/>
    <mergeCell ref="BK61:BN61"/>
    <mergeCell ref="S61:V61"/>
    <mergeCell ref="W61:Z61"/>
    <mergeCell ref="AA61:AD61"/>
    <mergeCell ref="AE61:AH61"/>
    <mergeCell ref="AI61:AL61"/>
    <mergeCell ref="AM61:AP61"/>
    <mergeCell ref="AQ61:AT61"/>
    <mergeCell ref="AU61:AX61"/>
    <mergeCell ref="AY61:BB61"/>
    <mergeCell ref="BC61:BF61"/>
    <mergeCell ref="BG61:BJ61"/>
    <mergeCell ref="BO61:BR61"/>
    <mergeCell ref="BS61:BV61"/>
    <mergeCell ref="BW61:BZ61"/>
    <mergeCell ref="CA61:CD61"/>
    <mergeCell ref="CE61:CH61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C1P</vt:lpstr>
      <vt:lpstr>PIB oferta anual</vt:lpstr>
      <vt:lpstr>escenario 2 oferta</vt:lpstr>
      <vt:lpstr>PIB demanda anual</vt:lpstr>
      <vt:lpstr>escenario 2 gasto</vt:lpstr>
      <vt:lpstr>Supuestos Macro y Conciliacion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2026-04-12T05:40:45Z</dcterms:modified>
</cp:coreProperties>
</file>