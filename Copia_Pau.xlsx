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amedina/Downloads/ICE_Proyecciones-main/"/>
    </mc:Choice>
  </mc:AlternateContent>
  <xr:revisionPtr revIDLastSave="0" documentId="13_ncr:1_{C4D36DB0-3D68-2243-B58D-13B2E4A276B4}" xr6:coauthVersionLast="47" xr6:coauthVersionMax="47" xr10:uidLastSave="{00000000-0000-0000-0000-000000000000}"/>
  <bookViews>
    <workbookView xWindow="0" yWindow="0" windowWidth="28800" windowHeight="18000" activeTab="3" xr2:uid="{A3B4AD7B-0ED6-4521-BD6B-44541A0DC533}"/>
  </bookViews>
  <sheets>
    <sheet name="C1P" sheetId="2" r:id="rId1"/>
    <sheet name="PIB oferta anual NORMAL" sheetId="4" r:id="rId2"/>
    <sheet name="C1G" sheetId="3" r:id="rId3"/>
    <sheet name="Proyección escenario demanda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7" i="6" l="1"/>
  <c r="Z7" i="6" s="1"/>
  <c r="AA7" i="6" s="1"/>
  <c r="AB7" i="6" s="1"/>
  <c r="Y8" i="6"/>
  <c r="Z8" i="6" s="1"/>
  <c r="AA8" i="6" s="1"/>
  <c r="AB8" i="6" s="1"/>
  <c r="Y9" i="6"/>
  <c r="Z9" i="6" s="1"/>
  <c r="AA9" i="6" s="1"/>
  <c r="AB9" i="6" s="1"/>
  <c r="Y10" i="6"/>
  <c r="Z10" i="6" s="1"/>
  <c r="AA10" i="6" s="1"/>
  <c r="AB10" i="6" s="1"/>
  <c r="Y11" i="6"/>
  <c r="Z11" i="6" s="1"/>
  <c r="AA11" i="6" s="1"/>
  <c r="AB11" i="6" s="1"/>
  <c r="Y12" i="6"/>
  <c r="Z12" i="6" s="1"/>
  <c r="AA12" i="6" s="1"/>
  <c r="AB12" i="6" s="1"/>
  <c r="Y13" i="6"/>
  <c r="Z13" i="6" s="1"/>
  <c r="AA13" i="6" s="1"/>
  <c r="AB13" i="6" s="1"/>
  <c r="Y14" i="6"/>
  <c r="Z14" i="6" s="1"/>
  <c r="AA14" i="6" s="1"/>
  <c r="AB14" i="6" s="1"/>
  <c r="Z6" i="6"/>
  <c r="AA6" i="6" s="1"/>
  <c r="AB6" i="6" s="1"/>
  <c r="Y6" i="6"/>
  <c r="X6" i="6"/>
  <c r="X8" i="6"/>
  <c r="X9" i="6"/>
  <c r="X10" i="6"/>
  <c r="X11" i="6"/>
  <c r="X12" i="6"/>
  <c r="X13" i="6"/>
  <c r="X14" i="6"/>
  <c r="X7" i="6"/>
  <c r="W7" i="6"/>
  <c r="W8" i="6"/>
  <c r="W9" i="6"/>
  <c r="W10" i="6"/>
  <c r="W11" i="6"/>
  <c r="W12" i="6"/>
  <c r="W13" i="6"/>
  <c r="W14" i="6"/>
  <c r="V7" i="6"/>
  <c r="V8" i="6"/>
  <c r="V9" i="6"/>
  <c r="V10" i="6"/>
  <c r="V11" i="6"/>
  <c r="V12" i="6"/>
  <c r="V13" i="6"/>
  <c r="V14" i="6"/>
  <c r="U7" i="6"/>
  <c r="U8" i="6"/>
  <c r="U9" i="6"/>
  <c r="U10" i="6"/>
  <c r="U11" i="6"/>
  <c r="U12" i="6"/>
  <c r="U13" i="6"/>
  <c r="U14" i="6"/>
  <c r="T7" i="6"/>
  <c r="T8" i="6"/>
  <c r="T9" i="6"/>
  <c r="T10" i="6"/>
  <c r="T11" i="6"/>
  <c r="T12" i="6"/>
  <c r="T13" i="6"/>
  <c r="T14" i="6"/>
  <c r="S7" i="6"/>
  <c r="S8" i="6"/>
  <c r="S9" i="6"/>
  <c r="S10" i="6"/>
  <c r="S11" i="6"/>
  <c r="S12" i="6"/>
  <c r="S13" i="6"/>
  <c r="S14" i="6"/>
  <c r="R7" i="6"/>
  <c r="R8" i="6"/>
  <c r="R9" i="6"/>
  <c r="R10" i="6"/>
  <c r="R11" i="6"/>
  <c r="R12" i="6"/>
  <c r="R13" i="6"/>
  <c r="R14" i="6"/>
  <c r="Q7" i="6"/>
  <c r="Q8" i="6"/>
  <c r="Q9" i="6"/>
  <c r="Q10" i="6"/>
  <c r="Q11" i="6"/>
  <c r="Q12" i="6"/>
  <c r="Q13" i="6"/>
  <c r="Q14" i="6"/>
  <c r="P7" i="6"/>
  <c r="P8" i="6"/>
  <c r="P9" i="6"/>
  <c r="P10" i="6"/>
  <c r="P11" i="6"/>
  <c r="P12" i="6"/>
  <c r="P13" i="6"/>
  <c r="P14" i="6"/>
  <c r="O7" i="6"/>
  <c r="O8" i="6"/>
  <c r="O9" i="6"/>
  <c r="O10" i="6"/>
  <c r="O11" i="6"/>
  <c r="O12" i="6"/>
  <c r="O13" i="6"/>
  <c r="O14" i="6"/>
  <c r="N7" i="6"/>
  <c r="N8" i="6"/>
  <c r="N9" i="6"/>
  <c r="N10" i="6"/>
  <c r="N11" i="6"/>
  <c r="N12" i="6"/>
  <c r="N13" i="6"/>
  <c r="N14" i="6"/>
  <c r="M7" i="6"/>
  <c r="M8" i="6"/>
  <c r="M9" i="6"/>
  <c r="M10" i="6"/>
  <c r="M11" i="6"/>
  <c r="M12" i="6"/>
  <c r="M13" i="6"/>
  <c r="M14" i="6"/>
  <c r="L7" i="6"/>
  <c r="L8" i="6"/>
  <c r="L9" i="6"/>
  <c r="L10" i="6"/>
  <c r="L11" i="6"/>
  <c r="L12" i="6"/>
  <c r="L13" i="6"/>
  <c r="L14" i="6"/>
  <c r="K7" i="6"/>
  <c r="K8" i="6"/>
  <c r="K9" i="6"/>
  <c r="K10" i="6"/>
  <c r="K11" i="6"/>
  <c r="K12" i="6"/>
  <c r="K13" i="6"/>
  <c r="K14" i="6"/>
  <c r="J7" i="6"/>
  <c r="J8" i="6"/>
  <c r="J9" i="6"/>
  <c r="J10" i="6"/>
  <c r="J11" i="6"/>
  <c r="J12" i="6"/>
  <c r="J13" i="6"/>
  <c r="J14" i="6"/>
  <c r="I7" i="6"/>
  <c r="I8" i="6"/>
  <c r="I9" i="6"/>
  <c r="I10" i="6"/>
  <c r="I11" i="6"/>
  <c r="I12" i="6"/>
  <c r="I13" i="6"/>
  <c r="I14" i="6"/>
  <c r="H7" i="6"/>
  <c r="H8" i="6"/>
  <c r="H9" i="6"/>
  <c r="H10" i="6"/>
  <c r="H11" i="6"/>
  <c r="H12" i="6"/>
  <c r="H13" i="6"/>
  <c r="H14" i="6"/>
  <c r="G7" i="6"/>
  <c r="G8" i="6"/>
  <c r="G9" i="6"/>
  <c r="G10" i="6"/>
  <c r="G11" i="6"/>
  <c r="G12" i="6"/>
  <c r="G13" i="6"/>
  <c r="G14" i="6"/>
  <c r="C7" i="6"/>
  <c r="D7" i="6"/>
  <c r="E7" i="6"/>
  <c r="F7" i="6"/>
  <c r="C8" i="6"/>
  <c r="D8" i="6"/>
  <c r="E8" i="6"/>
  <c r="F8" i="6"/>
  <c r="C9" i="6"/>
  <c r="D9" i="6"/>
  <c r="E9" i="6"/>
  <c r="F9" i="6"/>
  <c r="C10" i="6"/>
  <c r="D10" i="6"/>
  <c r="E10" i="6"/>
  <c r="F10" i="6"/>
  <c r="C11" i="6"/>
  <c r="D11" i="6"/>
  <c r="E11" i="6"/>
  <c r="F11" i="6"/>
  <c r="C12" i="6"/>
  <c r="D12" i="6"/>
  <c r="E12" i="6"/>
  <c r="F12" i="6"/>
  <c r="C13" i="6"/>
  <c r="D13" i="6"/>
  <c r="E13" i="6"/>
  <c r="F13" i="6"/>
  <c r="C14" i="6"/>
  <c r="D14" i="6"/>
  <c r="E14" i="6"/>
  <c r="F14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Y19" i="4"/>
  <c r="Z19" i="4"/>
  <c r="AA19" i="4"/>
  <c r="AB19" i="4"/>
  <c r="X19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X7" i="4"/>
  <c r="H11" i="2"/>
  <c r="E20" i="4"/>
  <c r="F20" i="4"/>
  <c r="S20" i="4"/>
  <c r="T20" i="4"/>
  <c r="U20" i="4"/>
  <c r="V20" i="4"/>
  <c r="X20" i="4" s="1"/>
  <c r="D19" i="4"/>
  <c r="D20" i="4" s="1"/>
  <c r="E19" i="4"/>
  <c r="F19" i="4"/>
  <c r="G19" i="4"/>
  <c r="G20" i="4" s="1"/>
  <c r="H19" i="4"/>
  <c r="H20" i="4" s="1"/>
  <c r="I19" i="4"/>
  <c r="I20" i="4" s="1"/>
  <c r="J19" i="4"/>
  <c r="J20" i="4" s="1"/>
  <c r="K19" i="4"/>
  <c r="K20" i="4" s="1"/>
  <c r="L19" i="4"/>
  <c r="L20" i="4" s="1"/>
  <c r="M19" i="4"/>
  <c r="M20" i="4" s="1"/>
  <c r="N19" i="4"/>
  <c r="N20" i="4" s="1"/>
  <c r="O19" i="4"/>
  <c r="O20" i="4" s="1"/>
  <c r="P19" i="4"/>
  <c r="P20" i="4" s="1"/>
  <c r="Q19" i="4"/>
  <c r="R20" i="4" s="1"/>
  <c r="R19" i="4"/>
  <c r="S19" i="4"/>
  <c r="T19" i="4"/>
  <c r="U19" i="4"/>
  <c r="V19" i="4"/>
  <c r="W19" i="4"/>
  <c r="W20" i="4" s="1"/>
  <c r="Y20" i="4" s="1"/>
  <c r="Z20" i="4" s="1"/>
  <c r="C19" i="4"/>
  <c r="CF5" i="2"/>
  <c r="I3" i="2"/>
  <c r="H3" i="2"/>
  <c r="X6" i="4" l="1"/>
  <c r="Y6" i="4" s="1"/>
  <c r="Z6" i="4" s="1"/>
  <c r="X8" i="4"/>
  <c r="Y8" i="4" s="1"/>
  <c r="Z8" i="4" s="1"/>
  <c r="X12" i="4"/>
  <c r="Y12" i="4" s="1"/>
  <c r="Z12" i="4" s="1"/>
  <c r="X16" i="4"/>
  <c r="Y16" i="4" s="1"/>
  <c r="Z16" i="4" s="1"/>
  <c r="X9" i="4"/>
  <c r="Y9" i="4" s="1"/>
  <c r="Z9" i="4" s="1"/>
  <c r="X10" i="4"/>
  <c r="Y10" i="4" s="1"/>
  <c r="Z10" i="4" s="1"/>
  <c r="X11" i="4"/>
  <c r="Y11" i="4" s="1"/>
  <c r="Z11" i="4" s="1"/>
  <c r="X13" i="4"/>
  <c r="Y13" i="4" s="1"/>
  <c r="Z13" i="4" s="1"/>
  <c r="X14" i="4"/>
  <c r="Y14" i="4" s="1"/>
  <c r="Z14" i="4" s="1"/>
  <c r="X15" i="4"/>
  <c r="Y15" i="4" s="1"/>
  <c r="Z15" i="4" s="1"/>
  <c r="X17" i="4"/>
  <c r="Y17" i="4" s="1"/>
  <c r="Z17" i="4" s="1"/>
  <c r="X18" i="4"/>
  <c r="Y18" i="4" s="1"/>
  <c r="Z18" i="4" s="1"/>
  <c r="Y7" i="4"/>
  <c r="Z7" i="4" s="1"/>
  <c r="Q20" i="4"/>
  <c r="AB20" i="4"/>
  <c r="AA20" i="4"/>
</calcChain>
</file>

<file path=xl/sharedStrings.xml><?xml version="1.0" encoding="utf-8"?>
<sst xmlns="http://schemas.openxmlformats.org/spreadsheetml/2006/main" count="783" uniqueCount="81">
  <si>
    <t>Producto Interno Bruto (PIB)</t>
  </si>
  <si>
    <t>Series encadenadas de volumen con año de referencia 2015</t>
  </si>
  <si>
    <t>Índice</t>
  </si>
  <si>
    <t>Datos originales</t>
  </si>
  <si>
    <t>Tasa de crecimiento anual</t>
  </si>
  <si>
    <t>Miles de millones de pesos</t>
  </si>
  <si>
    <t>Tasa de crecimiento año corrido</t>
  </si>
  <si>
    <r>
      <t>2005 - 2025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cuarto trimestre</t>
    </r>
  </si>
  <si>
    <t>Clasificación Cuentas Nacionales</t>
  </si>
  <si>
    <t>Secciones CIIU Rev. 4 A.C.
12 agrupaciones</t>
  </si>
  <si>
    <t>Concepto</t>
  </si>
  <si>
    <r>
      <t>2023</t>
    </r>
    <r>
      <rPr>
        <b/>
        <vertAlign val="superscript"/>
        <sz val="9"/>
        <color theme="1"/>
        <rFont val="Segoe UI"/>
        <family val="2"/>
      </rPr>
      <t>pr</t>
    </r>
  </si>
  <si>
    <r>
      <t>2024</t>
    </r>
    <r>
      <rPr>
        <b/>
        <vertAlign val="superscript"/>
        <sz val="9"/>
        <color theme="1"/>
        <rFont val="Segoe UI"/>
        <family val="2"/>
      </rPr>
      <t>p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</si>
  <si>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</si>
  <si>
    <t>I</t>
  </si>
  <si>
    <t>II</t>
  </si>
  <si>
    <t>III</t>
  </si>
  <si>
    <t>IV</t>
  </si>
  <si>
    <t>A</t>
  </si>
  <si>
    <t>Agricultura, ganadería, caza, silvicultura y pesca</t>
  </si>
  <si>
    <t>B</t>
  </si>
  <si>
    <t>Explotación de minas y canteras</t>
  </si>
  <si>
    <t>C</t>
  </si>
  <si>
    <t>Industrias manufactureras</t>
  </si>
  <si>
    <t>D + E</t>
  </si>
  <si>
    <t>Suministro de electricidad, gas, vapor y aire acondicionado; Distribución de agua; evacuación y tratamiento de aguas residuales, gestión de desechos y actividades de saneamiento ambiental</t>
  </si>
  <si>
    <t>F</t>
  </si>
  <si>
    <t>Construcción</t>
  </si>
  <si>
    <t>G + H + I</t>
  </si>
  <si>
    <t>Comercio al por mayor y al por menor; reparación de vehículos automotores y motocicletas; Transporte y almacenamiento; Alojamiento y servicios de comida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</si>
  <si>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</si>
  <si>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</si>
  <si>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</si>
  <si>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</si>
  <si>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</si>
  <si>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</si>
  <si>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 + N</t>
  </si>
  <si>
    <t>Actividades profesionales, científicas y técnicas; Actividades de servicios administrativos y de apoyo</t>
  </si>
  <si>
    <t>O + P + Q</t>
  </si>
  <si>
    <t>Administración pública y defensa; planes de seguridad social de afiliación obligatoria; Educación; Actividades de atención de la salud humana y de servicios sociales</t>
  </si>
  <si>
    <t>R + S + T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</si>
  <si>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</si>
  <si>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B.1b</t>
  </si>
  <si>
    <t>Valor agregado bruto</t>
  </si>
  <si>
    <t>D.21-D.31</t>
  </si>
  <si>
    <t>Impuestos menos subvenciones sobre los productos</t>
  </si>
  <si>
    <t>Producto Interno Bruto</t>
  </si>
  <si>
    <r>
      <rPr>
        <b/>
        <sz val="8"/>
        <rFont val="Segoe UI"/>
        <family val="2"/>
      </rPr>
      <t>Fuente</t>
    </r>
    <r>
      <rPr>
        <sz val="8"/>
        <rFont val="Segoe UI"/>
        <family val="2"/>
      </rPr>
      <t>: DANE, PIB_T</t>
    </r>
  </si>
  <si>
    <r>
      <rPr>
        <vertAlign val="superscript"/>
        <sz val="8"/>
        <rFont val="Segoe UI"/>
        <family val="2"/>
      </rPr>
      <t>pr</t>
    </r>
    <r>
      <rPr>
        <sz val="8"/>
        <rFont val="Segoe UI"/>
        <family val="2"/>
      </rPr>
      <t>preliminar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</si>
  <si>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</si>
  <si>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t>Actualizado el 16 de febrero de 2026</t>
  </si>
  <si>
    <t>Tasa de crecimiento anual (%)</t>
  </si>
  <si>
    <t>Base 2015</t>
  </si>
  <si>
    <r>
      <t>2006 - 2025</t>
    </r>
    <r>
      <rPr>
        <b/>
        <vertAlign val="superscript"/>
        <sz val="9"/>
        <rFont val="Segoe UI"/>
        <family val="2"/>
      </rPr>
      <t xml:space="preserve">pr </t>
    </r>
    <r>
      <rPr>
        <b/>
        <sz val="9"/>
        <rFont val="Segoe UI"/>
        <family val="2"/>
      </rPr>
      <t>cuarto trimestre</t>
    </r>
  </si>
  <si>
    <t>Tasa de crecimiento año corrido (%)</t>
  </si>
  <si>
    <r>
      <t>2006 - 2025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cuarto trimestre</t>
    </r>
  </si>
  <si>
    <t>P.8</t>
  </si>
  <si>
    <r>
      <t>Demanda interna</t>
    </r>
    <r>
      <rPr>
        <b/>
        <vertAlign val="superscript"/>
        <sz val="9"/>
        <color theme="1"/>
        <rFont val="Segoe UI"/>
        <family val="2"/>
      </rPr>
      <t>1</t>
    </r>
  </si>
  <si>
    <t xml:space="preserve">P.3 </t>
  </si>
  <si>
    <t>Gasto de consumo final</t>
  </si>
  <si>
    <t>P.311 + P.313 + P.323</t>
  </si>
  <si>
    <r>
      <t>Gasto de consumo final individual de los hogares; gasto de consumo final de las ISFLH</t>
    </r>
    <r>
      <rPr>
        <vertAlign val="superscript"/>
        <sz val="9"/>
        <color theme="1"/>
        <rFont val="Segoe UI"/>
        <family val="2"/>
      </rPr>
      <t>2</t>
    </r>
  </si>
  <si>
    <t>P.312 + P.322</t>
  </si>
  <si>
    <t>Gasto de consumo final del gobierno general</t>
  </si>
  <si>
    <t>P.5</t>
  </si>
  <si>
    <t>Formación bruta de capital</t>
  </si>
  <si>
    <t>P.51</t>
  </si>
  <si>
    <t>Formación bruta de capital fijo</t>
  </si>
  <si>
    <t>P.6</t>
  </si>
  <si>
    <t>Exportaciones</t>
  </si>
  <si>
    <t>P.7</t>
  </si>
  <si>
    <t>Importaciones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</si>
  <si>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PIB_T</t>
    </r>
  </si>
  <si>
    <r>
      <rPr>
        <vertAlign val="superscript"/>
        <sz val="8"/>
        <rFont val="Segoe UI"/>
        <family val="2"/>
      </rPr>
      <t>1</t>
    </r>
    <r>
      <rPr>
        <sz val="8"/>
        <rFont val="Segoe UI"/>
        <family val="2"/>
      </rPr>
      <t>Incluye el gasto de consumo final y la formación bruta de capital</t>
    </r>
  </si>
  <si>
    <r>
      <rPr>
        <vertAlign val="superscript"/>
        <sz val="8"/>
        <rFont val="Segoe UI"/>
        <family val="2"/>
      </rPr>
      <t>2</t>
    </r>
    <r>
      <rPr>
        <sz val="8"/>
        <rFont val="Segoe UI"/>
        <family val="2"/>
      </rPr>
      <t>Instituciones sin fines de lucro que sirven a los hogares</t>
    </r>
  </si>
  <si>
    <t>Suma Agregada PIB por Oferta Anual</t>
  </si>
  <si>
    <t>Tasas de Crecimiento</t>
  </si>
  <si>
    <t>PROYECCIÓN OFERTA ANUAL</t>
  </si>
  <si>
    <t>Tasa de crecimiento Inercial</t>
  </si>
  <si>
    <t>PIB</t>
  </si>
  <si>
    <t>Suma Agregada Demanda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</si>
</sst>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0.0"/>
    <numFmt numFmtId="168" formatCode="0.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Segoe UI"/>
      <family val="2"/>
    </font>
    <font>
      <sz val="9"/>
      <name val="Segoe UI"/>
      <family val="2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sz val="14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b/>
      <vertAlign val="superscript"/>
      <sz val="9"/>
      <name val="Segoe UI"/>
      <family val="2"/>
    </font>
    <font>
      <u/>
      <sz val="11"/>
      <color theme="10"/>
      <name val="Segoe UI"/>
      <family val="2"/>
    </font>
    <font>
      <b/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b/>
      <sz val="9"/>
      <color rgb="FFB6004B"/>
      <name val="Segoe UI"/>
      <family val="2"/>
    </font>
    <font>
      <sz val="9"/>
      <color rgb="FFB6004B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vertAlign val="superscript"/>
      <sz val="8"/>
      <name val="Segoe UI"/>
      <family val="2"/>
    </font>
    <font>
      <b/>
      <sz val="16"/>
      <color theme="0"/>
      <name val="Segoe UI"/>
      <family val="2"/>
    </font>
    <font>
      <b/>
      <i/>
      <sz val="9"/>
      <color theme="1"/>
      <name val="Segoe UI"/>
      <family val="2"/>
    </font>
    <font>
      <sz val="9"/>
      <name val="Segoe UI"/>
      <family val="2"/>
      <charset val="204"/>
    </font>
    <font>
      <vertAlign val="superscript"/>
      <sz val="9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8"/>
        <bgColor indexed="64"/>
      </patternFill>
    </fill>
    <fill>
      <patternFill patternType="solid">
        <fgColor rgb="FF9BC2E6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3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8" fillId="0" borderId="0" xfId="0" applyFont="1"/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2" borderId="0" xfId="2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12" fillId="0" borderId="0" xfId="2" applyFont="1" applyFill="1" applyBorder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5" xfId="0" applyFont="1" applyBorder="1"/>
    <xf numFmtId="0" fontId="4" fillId="0" borderId="1" xfId="0" applyFont="1" applyBorder="1"/>
    <xf numFmtId="0" fontId="15" fillId="6" borderId="8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3" fontId="4" fillId="6" borderId="0" xfId="3" applyNumberFormat="1" applyFont="1" applyFill="1" applyBorder="1" applyAlignment="1">
      <alignment horizontal="center" vertical="center"/>
    </xf>
    <xf numFmtId="3" fontId="4" fillId="6" borderId="1" xfId="3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3" fontId="4" fillId="0" borderId="0" xfId="3" applyNumberFormat="1" applyFont="1" applyFill="1" applyBorder="1" applyAlignment="1">
      <alignment horizontal="center" vertical="center"/>
    </xf>
    <xf numFmtId="3" fontId="4" fillId="0" borderId="1" xfId="3" applyNumberFormat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3" fillId="6" borderId="8" xfId="0" applyFont="1" applyFill="1" applyBorder="1" applyAlignment="1">
      <alignment vertical="center"/>
    </xf>
    <xf numFmtId="0" fontId="15" fillId="6" borderId="0" xfId="0" applyFont="1" applyFill="1" applyAlignment="1">
      <alignment vertical="center"/>
    </xf>
    <xf numFmtId="0" fontId="9" fillId="6" borderId="0" xfId="0" applyFont="1" applyFill="1" applyAlignment="1">
      <alignment vertical="center" wrapText="1"/>
    </xf>
    <xf numFmtId="3" fontId="13" fillId="6" borderId="0" xfId="3" applyNumberFormat="1" applyFont="1" applyFill="1" applyBorder="1" applyAlignment="1">
      <alignment horizontal="center" vertical="center"/>
    </xf>
    <xf numFmtId="3" fontId="13" fillId="6" borderId="1" xfId="3" applyNumberFormat="1" applyFont="1" applyFill="1" applyBorder="1" applyAlignment="1">
      <alignment horizontal="center" vertical="center"/>
    </xf>
    <xf numFmtId="165" fontId="4" fillId="0" borderId="0" xfId="0" applyNumberFormat="1" applyFont="1"/>
    <xf numFmtId="0" fontId="13" fillId="0" borderId="0" xfId="0" applyFont="1"/>
    <xf numFmtId="0" fontId="16" fillId="2" borderId="0" xfId="0" applyFont="1" applyFill="1" applyAlignment="1">
      <alignment vertical="center"/>
    </xf>
    <xf numFmtId="0" fontId="13" fillId="6" borderId="7" xfId="0" applyFont="1" applyFill="1" applyBorder="1" applyAlignment="1">
      <alignment vertical="center"/>
    </xf>
    <xf numFmtId="0" fontId="13" fillId="6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 wrapText="1"/>
    </xf>
    <xf numFmtId="3" fontId="13" fillId="6" borderId="2" xfId="3" applyNumberFormat="1" applyFont="1" applyFill="1" applyBorder="1" applyAlignment="1">
      <alignment horizontal="center" vertical="center"/>
    </xf>
    <xf numFmtId="3" fontId="13" fillId="6" borderId="3" xfId="3" applyNumberFormat="1" applyFont="1" applyFill="1" applyBorder="1" applyAlignment="1">
      <alignment horizontal="center" vertical="center"/>
    </xf>
    <xf numFmtId="3" fontId="4" fillId="0" borderId="0" xfId="0" applyNumberFormat="1" applyFont="1"/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3" fontId="18" fillId="0" borderId="7" xfId="0" applyNumberFormat="1" applyFont="1" applyBorder="1" applyAlignment="1">
      <alignment vertical="center"/>
    </xf>
    <xf numFmtId="3" fontId="18" fillId="0" borderId="2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3" fontId="13" fillId="6" borderId="0" xfId="0" applyNumberFormat="1" applyFont="1" applyFill="1" applyAlignment="1">
      <alignment vertical="center"/>
    </xf>
    <xf numFmtId="166" fontId="4" fillId="6" borderId="0" xfId="0" applyNumberFormat="1" applyFont="1" applyFill="1" applyAlignment="1">
      <alignment horizontal="center" vertical="center"/>
    </xf>
    <xf numFmtId="166" fontId="4" fillId="6" borderId="0" xfId="3" applyNumberFormat="1" applyFont="1" applyFill="1" applyBorder="1" applyAlignment="1">
      <alignment horizontal="center" vertical="center"/>
    </xf>
    <xf numFmtId="166" fontId="4" fillId="6" borderId="1" xfId="3" applyNumberFormat="1" applyFont="1" applyFill="1" applyBorder="1" applyAlignment="1">
      <alignment horizontal="center" vertical="center"/>
    </xf>
    <xf numFmtId="3" fontId="21" fillId="0" borderId="0" xfId="0" applyNumberFormat="1" applyFont="1" applyAlignment="1">
      <alignment vertical="center"/>
    </xf>
    <xf numFmtId="166" fontId="4" fillId="0" borderId="0" xfId="0" applyNumberFormat="1" applyFont="1" applyAlignment="1">
      <alignment horizontal="center" vertical="center"/>
    </xf>
    <xf numFmtId="166" fontId="4" fillId="0" borderId="0" xfId="3" applyNumberFormat="1" applyFont="1" applyFill="1" applyBorder="1" applyAlignment="1">
      <alignment horizontal="center" vertical="center"/>
    </xf>
    <xf numFmtId="166" fontId="4" fillId="0" borderId="1" xfId="3" applyNumberFormat="1" applyFont="1" applyFill="1" applyBorder="1" applyAlignment="1">
      <alignment horizontal="center" vertical="center"/>
    </xf>
    <xf numFmtId="3" fontId="4" fillId="6" borderId="0" xfId="0" applyNumberFormat="1" applyFont="1" applyFill="1" applyAlignment="1">
      <alignment vertical="center"/>
    </xf>
    <xf numFmtId="3" fontId="4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3" fontId="21" fillId="6" borderId="0" xfId="0" applyNumberFormat="1" applyFont="1" applyFill="1" applyAlignment="1">
      <alignment vertical="center"/>
    </xf>
    <xf numFmtId="166" fontId="13" fillId="6" borderId="0" xfId="0" applyNumberFormat="1" applyFont="1" applyFill="1" applyAlignment="1">
      <alignment horizontal="center" vertical="center"/>
    </xf>
    <xf numFmtId="166" fontId="13" fillId="6" borderId="0" xfId="3" applyNumberFormat="1" applyFont="1" applyFill="1" applyBorder="1" applyAlignment="1">
      <alignment horizontal="center" vertical="center"/>
    </xf>
    <xf numFmtId="166" fontId="13" fillId="6" borderId="1" xfId="3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vertical="center"/>
    </xf>
    <xf numFmtId="166" fontId="13" fillId="6" borderId="2" xfId="0" applyNumberFormat="1" applyFont="1" applyFill="1" applyBorder="1" applyAlignment="1">
      <alignment horizontal="center" vertical="center"/>
    </xf>
    <xf numFmtId="166" fontId="13" fillId="6" borderId="2" xfId="3" applyNumberFormat="1" applyFont="1" applyFill="1" applyBorder="1" applyAlignment="1">
      <alignment horizontal="center" vertical="center"/>
    </xf>
    <xf numFmtId="166" fontId="13" fillId="6" borderId="3" xfId="3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3" fontId="18" fillId="0" borderId="3" xfId="0" applyNumberFormat="1" applyFont="1" applyBorder="1" applyAlignment="1">
      <alignment vertical="center"/>
    </xf>
    <xf numFmtId="167" fontId="4" fillId="0" borderId="0" xfId="0" applyNumberFormat="1" applyFont="1"/>
    <xf numFmtId="2" fontId="4" fillId="0" borderId="0" xfId="0" applyNumberFormat="1" applyFont="1"/>
    <xf numFmtId="0" fontId="4" fillId="0" borderId="4" xfId="0" applyFont="1" applyBorder="1"/>
    <xf numFmtId="0" fontId="22" fillId="0" borderId="0" xfId="0" applyFont="1"/>
    <xf numFmtId="0" fontId="22" fillId="0" borderId="0" xfId="0" applyFont="1" applyAlignment="1">
      <alignment horizontal="center"/>
    </xf>
    <xf numFmtId="0" fontId="10" fillId="0" borderId="0" xfId="2" applyFont="1" applyFill="1" applyBorder="1"/>
    <xf numFmtId="0" fontId="13" fillId="7" borderId="2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4" fillId="6" borderId="4" xfId="0" applyFont="1" applyFill="1" applyBorder="1"/>
    <xf numFmtId="0" fontId="4" fillId="6" borderId="5" xfId="0" applyFont="1" applyFill="1" applyBorder="1"/>
    <xf numFmtId="0" fontId="4" fillId="6" borderId="6" xfId="0" applyFont="1" applyFill="1" applyBorder="1"/>
    <xf numFmtId="0" fontId="13" fillId="0" borderId="8" xfId="0" applyFont="1" applyBorder="1"/>
    <xf numFmtId="3" fontId="13" fillId="2" borderId="0" xfId="3" applyNumberFormat="1" applyFont="1" applyFill="1" applyBorder="1" applyAlignment="1">
      <alignment horizontal="center" vertical="center"/>
    </xf>
    <xf numFmtId="3" fontId="13" fillId="2" borderId="1" xfId="3" applyNumberFormat="1" applyFont="1" applyFill="1" applyBorder="1" applyAlignment="1">
      <alignment horizontal="center" vertical="center"/>
    </xf>
    <xf numFmtId="0" fontId="13" fillId="4" borderId="8" xfId="0" applyFont="1" applyFill="1" applyBorder="1"/>
    <xf numFmtId="0" fontId="13" fillId="4" borderId="0" xfId="0" applyFont="1" applyFill="1"/>
    <xf numFmtId="3" fontId="13" fillId="4" borderId="0" xfId="3" applyNumberFormat="1" applyFont="1" applyFill="1" applyBorder="1" applyAlignment="1">
      <alignment horizontal="center" vertical="center"/>
    </xf>
    <xf numFmtId="3" fontId="13" fillId="4" borderId="1" xfId="3" applyNumberFormat="1" applyFont="1" applyFill="1" applyBorder="1" applyAlignment="1">
      <alignment horizontal="center" vertical="center"/>
    </xf>
    <xf numFmtId="0" fontId="4" fillId="2" borderId="8" xfId="0" applyFont="1" applyFill="1" applyBorder="1"/>
    <xf numFmtId="0" fontId="4" fillId="2" borderId="0" xfId="0" applyFont="1" applyFill="1" applyAlignment="1">
      <alignment horizontal="left" indent="1"/>
    </xf>
    <xf numFmtId="3" fontId="4" fillId="2" borderId="0" xfId="3" applyNumberFormat="1" applyFont="1" applyFill="1" applyBorder="1" applyAlignment="1">
      <alignment horizontal="center" vertical="center"/>
    </xf>
    <xf numFmtId="3" fontId="4" fillId="2" borderId="1" xfId="3" applyNumberFormat="1" applyFont="1" applyFill="1" applyBorder="1" applyAlignment="1">
      <alignment horizontal="center" vertical="center"/>
    </xf>
    <xf numFmtId="0" fontId="4" fillId="4" borderId="8" xfId="0" applyFont="1" applyFill="1" applyBorder="1"/>
    <xf numFmtId="0" fontId="4" fillId="4" borderId="0" xfId="0" applyFont="1" applyFill="1" applyAlignment="1">
      <alignment horizontal="left" indent="1"/>
    </xf>
    <xf numFmtId="3" fontId="4" fillId="4" borderId="0" xfId="3" applyNumberFormat="1" applyFont="1" applyFill="1" applyBorder="1" applyAlignment="1">
      <alignment horizontal="center" vertical="center"/>
    </xf>
    <xf numFmtId="3" fontId="4" fillId="4" borderId="1" xfId="3" applyNumberFormat="1" applyFont="1" applyFill="1" applyBorder="1" applyAlignment="1">
      <alignment horizontal="center" vertical="center"/>
    </xf>
    <xf numFmtId="0" fontId="13" fillId="2" borderId="8" xfId="0" applyFont="1" applyFill="1" applyBorder="1"/>
    <xf numFmtId="0" fontId="13" fillId="2" borderId="0" xfId="0" applyFont="1" applyFill="1"/>
    <xf numFmtId="0" fontId="13" fillId="2" borderId="7" xfId="0" applyFont="1" applyFill="1" applyBorder="1"/>
    <xf numFmtId="0" fontId="13" fillId="2" borderId="2" xfId="0" applyFont="1" applyFill="1" applyBorder="1"/>
    <xf numFmtId="3" fontId="13" fillId="2" borderId="2" xfId="3" applyNumberFormat="1" applyFont="1" applyFill="1" applyBorder="1" applyAlignment="1">
      <alignment horizontal="center" vertical="center"/>
    </xf>
    <xf numFmtId="3" fontId="13" fillId="2" borderId="3" xfId="3" applyNumberFormat="1" applyFont="1" applyFill="1" applyBorder="1" applyAlignment="1">
      <alignment horizontal="center" vertical="center"/>
    </xf>
    <xf numFmtId="165" fontId="13" fillId="2" borderId="0" xfId="3" applyNumberFormat="1" applyFont="1" applyFill="1" applyBorder="1"/>
    <xf numFmtId="0" fontId="17" fillId="2" borderId="4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7" fillId="2" borderId="8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165" fontId="4" fillId="0" borderId="0" xfId="3" applyNumberFormat="1" applyFont="1" applyFill="1" applyBorder="1"/>
    <xf numFmtId="166" fontId="13" fillId="0" borderId="0" xfId="3" applyNumberFormat="1" applyFont="1" applyFill="1" applyBorder="1" applyAlignment="1">
      <alignment horizontal="center" vertical="center"/>
    </xf>
    <xf numFmtId="166" fontId="13" fillId="2" borderId="0" xfId="3" applyNumberFormat="1" applyFont="1" applyFill="1" applyBorder="1" applyAlignment="1">
      <alignment horizontal="center" vertical="center"/>
    </xf>
    <xf numFmtId="166" fontId="13" fillId="2" borderId="1" xfId="3" applyNumberFormat="1" applyFont="1" applyFill="1" applyBorder="1" applyAlignment="1">
      <alignment horizontal="center" vertical="center"/>
    </xf>
    <xf numFmtId="165" fontId="13" fillId="4" borderId="0" xfId="3" applyNumberFormat="1" applyFont="1" applyFill="1" applyBorder="1"/>
    <xf numFmtId="166" fontId="13" fillId="4" borderId="0" xfId="3" applyNumberFormat="1" applyFont="1" applyFill="1" applyBorder="1" applyAlignment="1">
      <alignment horizontal="center" vertical="center"/>
    </xf>
    <xf numFmtId="166" fontId="13" fillId="4" borderId="1" xfId="3" applyNumberFormat="1" applyFont="1" applyFill="1" applyBorder="1" applyAlignment="1">
      <alignment horizontal="center" vertical="center"/>
    </xf>
    <xf numFmtId="165" fontId="4" fillId="2" borderId="0" xfId="3" applyNumberFormat="1" applyFont="1" applyFill="1" applyBorder="1"/>
    <xf numFmtId="166" fontId="4" fillId="2" borderId="0" xfId="3" applyNumberFormat="1" applyFont="1" applyFill="1" applyBorder="1" applyAlignment="1">
      <alignment horizontal="center" vertical="center"/>
    </xf>
    <xf numFmtId="166" fontId="4" fillId="2" borderId="1" xfId="3" applyNumberFormat="1" applyFont="1" applyFill="1" applyBorder="1" applyAlignment="1">
      <alignment horizontal="center" vertical="center"/>
    </xf>
    <xf numFmtId="165" fontId="4" fillId="4" borderId="0" xfId="3" applyNumberFormat="1" applyFont="1" applyFill="1" applyBorder="1"/>
    <xf numFmtId="166" fontId="4" fillId="4" borderId="0" xfId="3" applyNumberFormat="1" applyFont="1" applyFill="1" applyBorder="1" applyAlignment="1">
      <alignment horizontal="center" vertical="center"/>
    </xf>
    <xf numFmtId="166" fontId="4" fillId="4" borderId="1" xfId="3" applyNumberFormat="1" applyFont="1" applyFill="1" applyBorder="1" applyAlignment="1">
      <alignment horizontal="center" vertical="center"/>
    </xf>
    <xf numFmtId="165" fontId="13" fillId="2" borderId="2" xfId="3" applyNumberFormat="1" applyFont="1" applyFill="1" applyBorder="1"/>
    <xf numFmtId="166" fontId="13" fillId="2" borderId="2" xfId="3" applyNumberFormat="1" applyFont="1" applyFill="1" applyBorder="1" applyAlignment="1">
      <alignment horizontal="center" vertical="center"/>
    </xf>
    <xf numFmtId="166" fontId="13" fillId="2" borderId="3" xfId="3" applyNumberFormat="1" applyFont="1" applyFill="1" applyBorder="1" applyAlignment="1">
      <alignment horizontal="center" vertical="center"/>
    </xf>
    <xf numFmtId="167" fontId="13" fillId="0" borderId="0" xfId="3" applyNumberFormat="1" applyFont="1" applyFill="1" applyBorder="1" applyAlignment="1">
      <alignment horizontal="center"/>
    </xf>
    <xf numFmtId="0" fontId="4" fillId="0" borderId="5" xfId="0" applyFont="1" applyBorder="1" applyAlignment="1">
      <alignment vertical="center"/>
    </xf>
    <xf numFmtId="167" fontId="4" fillId="0" borderId="5" xfId="0" applyNumberFormat="1" applyFont="1" applyBorder="1"/>
    <xf numFmtId="0" fontId="4" fillId="0" borderId="2" xfId="0" applyFont="1" applyBorder="1"/>
    <xf numFmtId="0" fontId="4" fillId="0" borderId="2" xfId="0" applyFont="1" applyBorder="1" applyAlignment="1">
      <alignment vertical="center"/>
    </xf>
    <xf numFmtId="167" fontId="4" fillId="0" borderId="2" xfId="0" applyNumberFormat="1" applyFont="1" applyBorder="1"/>
    <xf numFmtId="3" fontId="18" fillId="0" borderId="0" xfId="0" applyNumberFormat="1" applyFont="1" applyAlignment="1">
      <alignment vertical="center"/>
    </xf>
    <xf numFmtId="0" fontId="4" fillId="0" borderId="6" xfId="0" applyFont="1" applyBorder="1"/>
    <xf numFmtId="0" fontId="4" fillId="0" borderId="3" xfId="0" applyFont="1" applyBorder="1"/>
    <xf numFmtId="164" fontId="4" fillId="0" borderId="0" xfId="3" applyFont="1"/>
    <xf numFmtId="164" fontId="4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4" fillId="0" borderId="0" xfId="0" applyFont="1"/>
    <xf numFmtId="0" fontId="24" fillId="8" borderId="13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26" fillId="8" borderId="13" xfId="0" applyFont="1" applyFill="1" applyBorder="1" applyAlignment="1">
      <alignment horizontal="center" vertical="center" wrapText="1"/>
    </xf>
    <xf numFmtId="3" fontId="5" fillId="0" borderId="0" xfId="0" applyNumberFormat="1" applyFont="1"/>
    <xf numFmtId="3" fontId="8" fillId="0" borderId="0" xfId="0" applyNumberFormat="1" applyFont="1"/>
    <xf numFmtId="0" fontId="0" fillId="9" borderId="10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2" fillId="11" borderId="18" xfId="0" applyFont="1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/>
    </xf>
    <xf numFmtId="168" fontId="0" fillId="9" borderId="12" xfId="1" applyNumberFormat="1" applyFont="1" applyFill="1" applyBorder="1" applyAlignment="1">
      <alignment horizontal="center"/>
    </xf>
    <xf numFmtId="168" fontId="0" fillId="9" borderId="16" xfId="1" applyNumberFormat="1" applyFont="1" applyFill="1" applyBorder="1" applyAlignment="1">
      <alignment horizontal="center"/>
    </xf>
    <xf numFmtId="43" fontId="0" fillId="11" borderId="0" xfId="4" applyFont="1" applyFill="1" applyBorder="1" applyAlignment="1">
      <alignment horizontal="center" vertical="center"/>
    </xf>
    <xf numFmtId="43" fontId="0" fillId="11" borderId="14" xfId="4" applyFont="1" applyFill="1" applyBorder="1" applyAlignment="1">
      <alignment horizontal="center" vertical="center"/>
    </xf>
    <xf numFmtId="43" fontId="0" fillId="11" borderId="10" xfId="4" applyFont="1" applyFill="1" applyBorder="1" applyAlignment="1">
      <alignment horizontal="center" vertical="center"/>
    </xf>
    <xf numFmtId="168" fontId="0" fillId="9" borderId="12" xfId="0" applyNumberFormat="1" applyFill="1" applyBorder="1" applyAlignment="1">
      <alignment horizontal="center" vertical="center"/>
    </xf>
    <xf numFmtId="168" fontId="1" fillId="9" borderId="12" xfId="1" applyNumberFormat="1" applyFont="1" applyFill="1" applyBorder="1" applyAlignment="1">
      <alignment horizontal="center"/>
    </xf>
    <xf numFmtId="0" fontId="27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left" vertical="center"/>
    </xf>
    <xf numFmtId="0" fontId="13" fillId="5" borderId="4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" fillId="12" borderId="14" xfId="0" applyFont="1" applyFill="1" applyBorder="1" applyAlignment="1">
      <alignment horizontal="center" vertical="center" wrapText="1"/>
    </xf>
    <xf numFmtId="0" fontId="2" fillId="12" borderId="21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/>
    </xf>
    <xf numFmtId="0" fontId="2" fillId="12" borderId="23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13" fillId="7" borderId="4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13" borderId="8" xfId="0" applyFont="1" applyFill="1" applyBorder="1"/>
    <xf numFmtId="0" fontId="4" fillId="14" borderId="8" xfId="0" applyFont="1" applyFill="1" applyBorder="1"/>
    <xf numFmtId="0" fontId="13" fillId="13" borderId="24" xfId="0" applyFont="1" applyFill="1" applyBorder="1"/>
    <xf numFmtId="0" fontId="13" fillId="13" borderId="26" xfId="0" applyFont="1" applyFill="1" applyBorder="1"/>
    <xf numFmtId="0" fontId="13" fillId="13" borderId="27" xfId="0" applyFont="1" applyFill="1" applyBorder="1"/>
    <xf numFmtId="0" fontId="4" fillId="14" borderId="28" xfId="0" applyFont="1" applyFill="1" applyBorder="1"/>
    <xf numFmtId="0" fontId="4" fillId="14" borderId="25" xfId="0" applyFont="1" applyFill="1" applyBorder="1" applyAlignment="1">
      <alignment horizontal="left" indent="1"/>
    </xf>
    <xf numFmtId="0" fontId="4" fillId="14" borderId="27" xfId="0" applyFont="1" applyFill="1" applyBorder="1" applyAlignment="1">
      <alignment horizontal="left" indent="1"/>
    </xf>
    <xf numFmtId="0" fontId="13" fillId="13" borderId="29" xfId="0" applyFont="1" applyFill="1" applyBorder="1"/>
    <xf numFmtId="0" fontId="4" fillId="13" borderId="28" xfId="0" applyFont="1" applyFill="1" applyBorder="1"/>
    <xf numFmtId="0" fontId="4" fillId="13" borderId="25" xfId="0" applyFont="1" applyFill="1" applyBorder="1" applyAlignment="1">
      <alignment horizontal="left" indent="1"/>
    </xf>
    <xf numFmtId="0" fontId="13" fillId="14" borderId="26" xfId="0" applyFont="1" applyFill="1" applyBorder="1"/>
    <xf numFmtId="0" fontId="13" fillId="14" borderId="24" xfId="0" applyFont="1" applyFill="1" applyBorder="1"/>
    <xf numFmtId="0" fontId="26" fillId="8" borderId="21" xfId="0" applyFont="1" applyFill="1" applyBorder="1" applyAlignment="1">
      <alignment horizontal="center" vertical="center" wrapText="1"/>
    </xf>
    <xf numFmtId="0" fontId="24" fillId="8" borderId="24" xfId="0" applyFont="1" applyFill="1" applyBorder="1" applyAlignment="1">
      <alignment horizontal="center" vertical="center" wrapText="1"/>
    </xf>
    <xf numFmtId="0" fontId="13" fillId="13" borderId="30" xfId="0" applyFont="1" applyFill="1" applyBorder="1"/>
    <xf numFmtId="3" fontId="0" fillId="9" borderId="18" xfId="0" applyNumberFormat="1" applyFill="1" applyBorder="1" applyAlignment="1">
      <alignment horizontal="center" vertical="center"/>
    </xf>
    <xf numFmtId="3" fontId="0" fillId="9" borderId="17" xfId="0" applyNumberFormat="1" applyFill="1" applyBorder="1" applyAlignment="1">
      <alignment horizontal="center" vertical="center"/>
    </xf>
    <xf numFmtId="43" fontId="0" fillId="0" borderId="0" xfId="4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68" fontId="0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/>
    </xf>
    <xf numFmtId="168" fontId="0" fillId="0" borderId="0" xfId="0" applyNumberFormat="1" applyFill="1" applyBorder="1" applyAlignment="1">
      <alignment horizontal="center" vertical="center"/>
    </xf>
    <xf numFmtId="3" fontId="0" fillId="9" borderId="11" xfId="0" applyNumberFormat="1" applyFill="1" applyBorder="1" applyAlignment="1">
      <alignment horizontal="center" vertical="center"/>
    </xf>
    <xf numFmtId="3" fontId="0" fillId="9" borderId="15" xfId="0" applyNumberFormat="1" applyFill="1" applyBorder="1" applyAlignment="1">
      <alignment horizontal="center" vertical="center"/>
    </xf>
    <xf numFmtId="3" fontId="0" fillId="10" borderId="11" xfId="0" applyNumberFormat="1" applyFill="1" applyBorder="1" applyAlignment="1">
      <alignment horizontal="center" vertical="center"/>
    </xf>
    <xf numFmtId="3" fontId="0" fillId="14" borderId="18" xfId="0" applyNumberFormat="1" applyFill="1" applyBorder="1" applyAlignment="1">
      <alignment horizontal="center" vertical="center"/>
    </xf>
    <xf numFmtId="3" fontId="0" fillId="14" borderId="17" xfId="0" applyNumberFormat="1" applyFill="1" applyBorder="1" applyAlignment="1">
      <alignment horizontal="center" vertical="center"/>
    </xf>
    <xf numFmtId="3" fontId="0" fillId="14" borderId="11" xfId="0" applyNumberFormat="1" applyFill="1" applyBorder="1" applyAlignment="1">
      <alignment horizontal="center" vertical="center"/>
    </xf>
    <xf numFmtId="3" fontId="0" fillId="14" borderId="15" xfId="0" applyNumberFormat="1" applyFill="1" applyBorder="1" applyAlignment="1">
      <alignment horizontal="center" vertical="center"/>
    </xf>
    <xf numFmtId="3" fontId="0" fillId="0" borderId="0" xfId="0" applyNumberFormat="1"/>
    <xf numFmtId="3" fontId="0" fillId="13" borderId="11" xfId="0" applyNumberFormat="1" applyFill="1" applyBorder="1" applyAlignment="1">
      <alignment horizontal="center" vertical="center"/>
    </xf>
  </cellXfs>
  <cellStyles count="5">
    <cellStyle name="Hipervínculo" xfId="2" builtinId="8"/>
    <cellStyle name="Millares" xfId="4" builtinId="3"/>
    <cellStyle name="Millares 2" xfId="3" xr:uid="{B5FA09B4-307C-4159-B091-F5BB2993442C}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DDEBF8"/>
      <color rgb="FF9BC2E6"/>
      <color rgb="FF2F75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59700</xdr:colOff>
      <xdr:row>3</xdr:row>
      <xdr:rowOff>62659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2013755-D428-4C1B-A02A-0849C8951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9784725" cy="5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73C7D1-5361-4638-A94C-E90B67B03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73721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</xdr:rowOff>
    </xdr:from>
    <xdr:to>
      <xdr:col>7</xdr:col>
      <xdr:colOff>60960</xdr:colOff>
      <xdr:row>1</xdr:row>
      <xdr:rowOff>64041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4C4C9897-0657-447C-AF52-0E822F2FF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20"/>
          <a:ext cx="10033635" cy="56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9A2262-3C53-4FCF-85F5-1D9CDDC7B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166C-5E8A-4FCF-AB23-51AE0FF3BD72}">
  <dimension ref="A1:CS175"/>
  <sheetViews>
    <sheetView showGridLines="0" topLeftCell="A25" zoomScale="94" zoomScaleNormal="100" workbookViewId="0">
      <selection activeCell="H11" sqref="H11"/>
    </sheetView>
  </sheetViews>
  <sheetFormatPr baseColWidth="10" defaultColWidth="11.5" defaultRowHeight="13" x14ac:dyDescent="0.2"/>
  <cols>
    <col min="1" max="1" width="15.5" style="1" customWidth="1"/>
    <col min="2" max="2" width="17.1640625" style="1" customWidth="1"/>
    <col min="3" max="3" width="67.5" style="1" customWidth="1"/>
    <col min="4" max="4" width="11.5" style="55" customWidth="1"/>
    <col min="5" max="5" width="11.5" style="1" customWidth="1"/>
    <col min="6" max="6" width="11.5" style="1"/>
    <col min="7" max="7" width="11.5" style="1" customWidth="1"/>
    <col min="8" max="8" width="11.6640625" style="1" customWidth="1"/>
    <col min="9" max="57" width="11.5" style="1"/>
    <col min="58" max="61" width="11.5" style="1" customWidth="1"/>
    <col min="62" max="62" width="11.5" style="1"/>
    <col min="63" max="72" width="11.5" style="1" customWidth="1"/>
    <col min="73" max="16384" width="11.5" style="1"/>
  </cols>
  <sheetData>
    <row r="1" spans="1:87" ht="9" customHeight="1" x14ac:dyDescent="0.2">
      <c r="A1" s="174"/>
      <c r="B1" s="174"/>
      <c r="C1" s="174"/>
      <c r="D1" s="174"/>
      <c r="E1" s="174"/>
      <c r="F1" s="174"/>
      <c r="G1" s="174"/>
    </row>
    <row r="2" spans="1:87" ht="9" customHeight="1" x14ac:dyDescent="0.2">
      <c r="A2" s="174"/>
      <c r="B2" s="174"/>
      <c r="C2" s="174"/>
      <c r="D2" s="174"/>
      <c r="E2" s="174"/>
      <c r="F2" s="174"/>
      <c r="G2" s="174"/>
    </row>
    <row r="3" spans="1:87" s="3" customFormat="1" ht="42" customHeight="1" x14ac:dyDescent="0.25">
      <c r="A3" s="174"/>
      <c r="B3" s="174"/>
      <c r="C3" s="174"/>
      <c r="D3" s="174"/>
      <c r="E3" s="174"/>
      <c r="F3" s="174"/>
      <c r="G3" s="174"/>
      <c r="H3" s="150">
        <f>SUM(D15:G15)</f>
        <v>37909</v>
      </c>
      <c r="I3" s="150">
        <f>SUM(H15:K15)</f>
        <v>38717</v>
      </c>
      <c r="J3" s="2"/>
      <c r="K3" s="2"/>
      <c r="L3" s="2"/>
      <c r="M3" s="2"/>
    </row>
    <row r="4" spans="1:87" s="3" customFormat="1" ht="8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87" s="4" customFormat="1" ht="14.5" customHeight="1" x14ac:dyDescent="0.3">
      <c r="A5" s="175" t="s">
        <v>0</v>
      </c>
      <c r="B5" s="175"/>
      <c r="C5" s="175"/>
      <c r="D5" s="175"/>
      <c r="E5" s="175"/>
      <c r="F5" s="175"/>
      <c r="G5" s="175"/>
      <c r="CF5" s="151">
        <f>SUM(CF15:CI15)</f>
        <v>63888.120954066384</v>
      </c>
    </row>
    <row r="6" spans="1:87" s="4" customFormat="1" ht="14.5" customHeight="1" x14ac:dyDescent="0.3">
      <c r="A6" s="175"/>
      <c r="B6" s="175"/>
      <c r="C6" s="175"/>
      <c r="D6" s="175"/>
      <c r="E6" s="175"/>
      <c r="F6" s="175"/>
      <c r="G6" s="175"/>
    </row>
    <row r="7" spans="1:87" s="2" customFormat="1" ht="14" customHeight="1" x14ac:dyDescent="0.2">
      <c r="A7" s="5" t="s">
        <v>1</v>
      </c>
      <c r="B7" s="6"/>
      <c r="C7" s="6"/>
      <c r="D7" s="6"/>
      <c r="E7" s="6"/>
      <c r="F7" s="6"/>
      <c r="G7" s="7"/>
      <c r="I7" s="8" t="s">
        <v>2</v>
      </c>
    </row>
    <row r="8" spans="1:87" s="2" customFormat="1" ht="14" customHeight="1" x14ac:dyDescent="0.2">
      <c r="A8" s="5" t="s">
        <v>3</v>
      </c>
      <c r="B8" s="6"/>
      <c r="C8" s="6"/>
      <c r="D8" s="6"/>
      <c r="E8" s="6"/>
      <c r="F8" s="6"/>
      <c r="G8" s="7"/>
      <c r="I8" s="8" t="s">
        <v>4</v>
      </c>
    </row>
    <row r="9" spans="1:87" s="2" customFormat="1" ht="14" customHeight="1" x14ac:dyDescent="0.2">
      <c r="A9" s="5" t="s">
        <v>5</v>
      </c>
      <c r="B9" s="6"/>
      <c r="C9" s="6"/>
      <c r="D9" s="6"/>
      <c r="E9" s="6"/>
      <c r="F9" s="6"/>
      <c r="G9" s="7"/>
      <c r="I9" s="8" t="s">
        <v>6</v>
      </c>
    </row>
    <row r="10" spans="1:87" s="2" customFormat="1" ht="14.25" customHeight="1" x14ac:dyDescent="0.25">
      <c r="A10" s="9" t="s">
        <v>7</v>
      </c>
      <c r="B10" s="10"/>
      <c r="C10" s="10"/>
      <c r="D10" s="10"/>
      <c r="E10" s="10"/>
      <c r="F10" s="10"/>
      <c r="G10" s="11"/>
      <c r="R10" s="12"/>
    </row>
    <row r="11" spans="1:87" x14ac:dyDescent="0.2">
      <c r="A11" s="13"/>
      <c r="B11" s="13"/>
      <c r="C11" s="13"/>
      <c r="D11" s="13"/>
      <c r="H11" s="45">
        <f>SUM(D15:G15)</f>
        <v>37909</v>
      </c>
    </row>
    <row r="12" spans="1:87" s="13" customFormat="1" ht="37" customHeight="1" x14ac:dyDescent="0.2">
      <c r="A12" s="176" t="s">
        <v>8</v>
      </c>
      <c r="B12" s="178" t="s">
        <v>9</v>
      </c>
      <c r="C12" s="178" t="s">
        <v>10</v>
      </c>
      <c r="D12" s="178">
        <v>2005</v>
      </c>
      <c r="E12" s="178"/>
      <c r="F12" s="178"/>
      <c r="G12" s="178"/>
      <c r="H12" s="178">
        <v>2006</v>
      </c>
      <c r="I12" s="178"/>
      <c r="J12" s="178"/>
      <c r="K12" s="178"/>
      <c r="L12" s="178">
        <v>2007</v>
      </c>
      <c r="M12" s="178"/>
      <c r="N12" s="178"/>
      <c r="O12" s="178"/>
      <c r="P12" s="178">
        <v>2008</v>
      </c>
      <c r="Q12" s="178"/>
      <c r="R12" s="178"/>
      <c r="S12" s="178"/>
      <c r="T12" s="178">
        <v>2009</v>
      </c>
      <c r="U12" s="178"/>
      <c r="V12" s="178"/>
      <c r="W12" s="178"/>
      <c r="X12" s="178">
        <v>2010</v>
      </c>
      <c r="Y12" s="178"/>
      <c r="Z12" s="178"/>
      <c r="AA12" s="178"/>
      <c r="AB12" s="178">
        <v>2011</v>
      </c>
      <c r="AC12" s="178"/>
      <c r="AD12" s="178"/>
      <c r="AE12" s="178"/>
      <c r="AF12" s="178">
        <v>2012</v>
      </c>
      <c r="AG12" s="178"/>
      <c r="AH12" s="178"/>
      <c r="AI12" s="178"/>
      <c r="AJ12" s="178">
        <v>2013</v>
      </c>
      <c r="AK12" s="178"/>
      <c r="AL12" s="178"/>
      <c r="AM12" s="178"/>
      <c r="AN12" s="178">
        <v>2014</v>
      </c>
      <c r="AO12" s="178"/>
      <c r="AP12" s="178"/>
      <c r="AQ12" s="178"/>
      <c r="AR12" s="178">
        <v>2015</v>
      </c>
      <c r="AS12" s="178"/>
      <c r="AT12" s="178"/>
      <c r="AU12" s="178"/>
      <c r="AV12" s="178">
        <v>2016</v>
      </c>
      <c r="AW12" s="178"/>
      <c r="AX12" s="178"/>
      <c r="AY12" s="178"/>
      <c r="AZ12" s="178">
        <v>2017</v>
      </c>
      <c r="BA12" s="178"/>
      <c r="BB12" s="178"/>
      <c r="BC12" s="178"/>
      <c r="BD12" s="178">
        <v>2018</v>
      </c>
      <c r="BE12" s="178"/>
      <c r="BF12" s="178"/>
      <c r="BG12" s="178"/>
      <c r="BH12" s="178">
        <v>2019</v>
      </c>
      <c r="BI12" s="178"/>
      <c r="BJ12" s="178"/>
      <c r="BK12" s="178"/>
      <c r="BL12" s="178">
        <v>2020</v>
      </c>
      <c r="BM12" s="178"/>
      <c r="BN12" s="178"/>
      <c r="BO12" s="178"/>
      <c r="BP12" s="178">
        <v>2021</v>
      </c>
      <c r="BQ12" s="178"/>
      <c r="BR12" s="178"/>
      <c r="BS12" s="178"/>
      <c r="BT12" s="178">
        <v>2022</v>
      </c>
      <c r="BU12" s="178"/>
      <c r="BV12" s="178"/>
      <c r="BW12" s="178"/>
      <c r="BX12" s="178">
        <v>2023</v>
      </c>
      <c r="BY12" s="178" t="s">
        <v>11</v>
      </c>
      <c r="BZ12" s="178"/>
      <c r="CA12" s="178"/>
      <c r="CB12" s="178" t="s">
        <v>12</v>
      </c>
      <c r="CC12" s="178" t="s">
        <v>11</v>
      </c>
      <c r="CD12" s="178"/>
      <c r="CE12" s="178"/>
      <c r="CF12" s="178" t="s">
        <v>13</v>
      </c>
      <c r="CG12" s="178" t="s">
        <v>11</v>
      </c>
      <c r="CH12" s="178"/>
      <c r="CI12" s="180"/>
    </row>
    <row r="13" spans="1:87" s="13" customFormat="1" ht="12" customHeight="1" x14ac:dyDescent="0.2">
      <c r="A13" s="177"/>
      <c r="B13" s="179"/>
      <c r="C13" s="179"/>
      <c r="D13" s="14" t="s">
        <v>14</v>
      </c>
      <c r="E13" s="14" t="s">
        <v>15</v>
      </c>
      <c r="F13" s="14" t="s">
        <v>16</v>
      </c>
      <c r="G13" s="14" t="s">
        <v>17</v>
      </c>
      <c r="H13" s="14" t="s">
        <v>14</v>
      </c>
      <c r="I13" s="14" t="s">
        <v>15</v>
      </c>
      <c r="J13" s="14" t="s">
        <v>16</v>
      </c>
      <c r="K13" s="14" t="s">
        <v>17</v>
      </c>
      <c r="L13" s="14" t="s">
        <v>14</v>
      </c>
      <c r="M13" s="14" t="s">
        <v>15</v>
      </c>
      <c r="N13" s="14" t="s">
        <v>16</v>
      </c>
      <c r="O13" s="14" t="s">
        <v>17</v>
      </c>
      <c r="P13" s="14" t="s">
        <v>14</v>
      </c>
      <c r="Q13" s="14" t="s">
        <v>15</v>
      </c>
      <c r="R13" s="14" t="s">
        <v>16</v>
      </c>
      <c r="S13" s="14" t="s">
        <v>17</v>
      </c>
      <c r="T13" s="14" t="s">
        <v>14</v>
      </c>
      <c r="U13" s="14" t="s">
        <v>15</v>
      </c>
      <c r="V13" s="14" t="s">
        <v>16</v>
      </c>
      <c r="W13" s="14" t="s">
        <v>17</v>
      </c>
      <c r="X13" s="14" t="s">
        <v>14</v>
      </c>
      <c r="Y13" s="14" t="s">
        <v>15</v>
      </c>
      <c r="Z13" s="14" t="s">
        <v>16</v>
      </c>
      <c r="AA13" s="14" t="s">
        <v>17</v>
      </c>
      <c r="AB13" s="14" t="s">
        <v>14</v>
      </c>
      <c r="AC13" s="14" t="s">
        <v>15</v>
      </c>
      <c r="AD13" s="14" t="s">
        <v>16</v>
      </c>
      <c r="AE13" s="14" t="s">
        <v>17</v>
      </c>
      <c r="AF13" s="14" t="s">
        <v>14</v>
      </c>
      <c r="AG13" s="14" t="s">
        <v>15</v>
      </c>
      <c r="AH13" s="14" t="s">
        <v>16</v>
      </c>
      <c r="AI13" s="14" t="s">
        <v>17</v>
      </c>
      <c r="AJ13" s="14" t="s">
        <v>14</v>
      </c>
      <c r="AK13" s="14" t="s">
        <v>15</v>
      </c>
      <c r="AL13" s="14" t="s">
        <v>16</v>
      </c>
      <c r="AM13" s="14" t="s">
        <v>17</v>
      </c>
      <c r="AN13" s="14" t="s">
        <v>14</v>
      </c>
      <c r="AO13" s="14" t="s">
        <v>15</v>
      </c>
      <c r="AP13" s="14" t="s">
        <v>16</v>
      </c>
      <c r="AQ13" s="14" t="s">
        <v>17</v>
      </c>
      <c r="AR13" s="14" t="s">
        <v>14</v>
      </c>
      <c r="AS13" s="14" t="s">
        <v>15</v>
      </c>
      <c r="AT13" s="14" t="s">
        <v>16</v>
      </c>
      <c r="AU13" s="14" t="s">
        <v>17</v>
      </c>
      <c r="AV13" s="14" t="s">
        <v>14</v>
      </c>
      <c r="AW13" s="14" t="s">
        <v>15</v>
      </c>
      <c r="AX13" s="14" t="s">
        <v>16</v>
      </c>
      <c r="AY13" s="14" t="s">
        <v>17</v>
      </c>
      <c r="AZ13" s="14" t="s">
        <v>14</v>
      </c>
      <c r="BA13" s="14" t="s">
        <v>15</v>
      </c>
      <c r="BB13" s="14" t="s">
        <v>16</v>
      </c>
      <c r="BC13" s="14" t="s">
        <v>17</v>
      </c>
      <c r="BD13" s="14" t="s">
        <v>14</v>
      </c>
      <c r="BE13" s="14" t="s">
        <v>15</v>
      </c>
      <c r="BF13" s="14" t="s">
        <v>16</v>
      </c>
      <c r="BG13" s="14" t="s">
        <v>17</v>
      </c>
      <c r="BH13" s="14" t="s">
        <v>14</v>
      </c>
      <c r="BI13" s="14" t="s">
        <v>15</v>
      </c>
      <c r="BJ13" s="14" t="s">
        <v>16</v>
      </c>
      <c r="BK13" s="14" t="s">
        <v>17</v>
      </c>
      <c r="BL13" s="14" t="s">
        <v>14</v>
      </c>
      <c r="BM13" s="14" t="s">
        <v>15</v>
      </c>
      <c r="BN13" s="14" t="s">
        <v>16</v>
      </c>
      <c r="BO13" s="14" t="s">
        <v>17</v>
      </c>
      <c r="BP13" s="14" t="s">
        <v>14</v>
      </c>
      <c r="BQ13" s="14" t="s">
        <v>15</v>
      </c>
      <c r="BR13" s="14" t="s">
        <v>16</v>
      </c>
      <c r="BS13" s="14" t="s">
        <v>17</v>
      </c>
      <c r="BT13" s="14" t="s">
        <v>14</v>
      </c>
      <c r="BU13" s="14" t="s">
        <v>15</v>
      </c>
      <c r="BV13" s="14" t="s">
        <v>16</v>
      </c>
      <c r="BW13" s="14" t="s">
        <v>17</v>
      </c>
      <c r="BX13" s="14" t="s">
        <v>14</v>
      </c>
      <c r="BY13" s="14" t="s">
        <v>15</v>
      </c>
      <c r="BZ13" s="14" t="s">
        <v>16</v>
      </c>
      <c r="CA13" s="14" t="s">
        <v>17</v>
      </c>
      <c r="CB13" s="14" t="s">
        <v>14</v>
      </c>
      <c r="CC13" s="14" t="s">
        <v>15</v>
      </c>
      <c r="CD13" s="14" t="s">
        <v>16</v>
      </c>
      <c r="CE13" s="14" t="s">
        <v>17</v>
      </c>
      <c r="CF13" s="14" t="s">
        <v>14</v>
      </c>
      <c r="CG13" s="14" t="s">
        <v>15</v>
      </c>
      <c r="CH13" s="14" t="s">
        <v>16</v>
      </c>
      <c r="CI13" s="15" t="s">
        <v>17</v>
      </c>
    </row>
    <row r="14" spans="1:87" x14ac:dyDescent="0.2">
      <c r="A14" s="16"/>
      <c r="D14" s="1"/>
      <c r="BF14" s="17"/>
      <c r="BG14" s="17"/>
      <c r="BH14" s="17"/>
      <c r="CI14" s="18"/>
    </row>
    <row r="15" spans="1:87" ht="14" x14ac:dyDescent="0.2">
      <c r="A15" s="19"/>
      <c r="B15" s="20" t="s">
        <v>18</v>
      </c>
      <c r="C15" s="21" t="s">
        <v>19</v>
      </c>
      <c r="D15" s="22">
        <v>8790.3091721461115</v>
      </c>
      <c r="E15" s="22">
        <v>9235.9264657852727</v>
      </c>
      <c r="F15" s="22">
        <v>10131.95162879547</v>
      </c>
      <c r="G15" s="22">
        <v>9750.8127332731474</v>
      </c>
      <c r="H15" s="22">
        <v>8923.1480944006398</v>
      </c>
      <c r="I15" s="22">
        <v>9216.8047348900054</v>
      </c>
      <c r="J15" s="22">
        <v>10502.224816188696</v>
      </c>
      <c r="K15" s="22">
        <v>10074.82235452066</v>
      </c>
      <c r="L15" s="22">
        <v>9277.8062305498916</v>
      </c>
      <c r="M15" s="22">
        <v>9552.3758951599721</v>
      </c>
      <c r="N15" s="22">
        <v>11016.705254738017</v>
      </c>
      <c r="O15" s="22">
        <v>10392.112619552119</v>
      </c>
      <c r="P15" s="22">
        <v>9494.4998095342835</v>
      </c>
      <c r="Q15" s="22">
        <v>9574.5341579708911</v>
      </c>
      <c r="R15" s="22">
        <v>10898.670497457113</v>
      </c>
      <c r="S15" s="22">
        <v>9947.2955350377088</v>
      </c>
      <c r="T15" s="22">
        <v>9201.6384456315172</v>
      </c>
      <c r="U15" s="22">
        <v>9303.5289113274175</v>
      </c>
      <c r="V15" s="22">
        <v>11099.45960630331</v>
      </c>
      <c r="W15" s="22">
        <v>10217.373036737754</v>
      </c>
      <c r="X15" s="22">
        <v>9170.0767917396424</v>
      </c>
      <c r="Y15" s="22">
        <v>9530.0456721079827</v>
      </c>
      <c r="Z15" s="22">
        <v>10815.284803217874</v>
      </c>
      <c r="AA15" s="22">
        <v>10427.592732934501</v>
      </c>
      <c r="AB15" s="22">
        <v>9793.6640267354614</v>
      </c>
      <c r="AC15" s="22">
        <v>9701.6391480162183</v>
      </c>
      <c r="AD15" s="22">
        <v>10878.874643004005</v>
      </c>
      <c r="AE15" s="22">
        <v>10331.822182244321</v>
      </c>
      <c r="AF15" s="22">
        <v>9960.5477767663633</v>
      </c>
      <c r="AG15" s="22">
        <v>10218.776321060606</v>
      </c>
      <c r="AH15" s="22">
        <v>11143.139928882501</v>
      </c>
      <c r="AI15" s="22">
        <v>10402.535973290527</v>
      </c>
      <c r="AJ15" s="22">
        <v>10305.601165375065</v>
      </c>
      <c r="AK15" s="22">
        <v>11359.853485247148</v>
      </c>
      <c r="AL15" s="22">
        <v>11956.095448669099</v>
      </c>
      <c r="AM15" s="22">
        <v>11213.449900708687</v>
      </c>
      <c r="AN15" s="22">
        <v>11097.830183651007</v>
      </c>
      <c r="AO15" s="22">
        <v>11269.929286263774</v>
      </c>
      <c r="AP15" s="22">
        <v>12185.835630832997</v>
      </c>
      <c r="AQ15" s="22">
        <v>11586.40489925222</v>
      </c>
      <c r="AR15" s="22">
        <v>11447.884253486034</v>
      </c>
      <c r="AS15" s="22">
        <v>11579.525648460509</v>
      </c>
      <c r="AT15" s="22">
        <v>13022.908889835266</v>
      </c>
      <c r="AU15" s="22">
        <v>12073.681208218191</v>
      </c>
      <c r="AV15" s="22">
        <v>11376.929048934237</v>
      </c>
      <c r="AW15" s="22">
        <v>11692.178195630051</v>
      </c>
      <c r="AX15" s="22">
        <v>13220.0713944294</v>
      </c>
      <c r="AY15" s="22">
        <v>13151.821361006309</v>
      </c>
      <c r="AZ15" s="22">
        <v>12648.930087416249</v>
      </c>
      <c r="BA15" s="22">
        <v>12427.807047452263</v>
      </c>
      <c r="BB15" s="22">
        <v>14008.503394217436</v>
      </c>
      <c r="BC15" s="22">
        <v>13112.759470914054</v>
      </c>
      <c r="BD15" s="22">
        <v>12764.936734271772</v>
      </c>
      <c r="BE15" s="22">
        <v>12913.668943072305</v>
      </c>
      <c r="BF15" s="22">
        <v>14140.695379804138</v>
      </c>
      <c r="BG15" s="22">
        <v>13210.698942851785</v>
      </c>
      <c r="BH15" s="22">
        <v>12947.97808068865</v>
      </c>
      <c r="BI15" s="22">
        <v>13064.054842752941</v>
      </c>
      <c r="BJ15" s="22">
        <v>14642.832421459738</v>
      </c>
      <c r="BK15" s="22">
        <v>13816.134655098671</v>
      </c>
      <c r="BL15" s="22">
        <v>13676.434051669672</v>
      </c>
      <c r="BM15" s="22">
        <v>12926.395898411336</v>
      </c>
      <c r="BN15" s="22">
        <v>14751.585887210189</v>
      </c>
      <c r="BO15" s="22">
        <v>14184.584162708803</v>
      </c>
      <c r="BP15" s="22">
        <v>14227.402926852154</v>
      </c>
      <c r="BQ15" s="22">
        <v>13762.483557174246</v>
      </c>
      <c r="BR15" s="22">
        <v>15219.862930759673</v>
      </c>
      <c r="BS15" s="22">
        <v>14758.250585213927</v>
      </c>
      <c r="BT15" s="22">
        <v>14019.811609619443</v>
      </c>
      <c r="BU15" s="22">
        <v>14052.889742087089</v>
      </c>
      <c r="BV15" s="22">
        <v>15095.527668547082</v>
      </c>
      <c r="BW15" s="22">
        <v>14273.770979746387</v>
      </c>
      <c r="BX15" s="22">
        <v>14137.413905704178</v>
      </c>
      <c r="BY15" s="22">
        <v>13847.921617311284</v>
      </c>
      <c r="BZ15" s="22">
        <v>15306.853326817902</v>
      </c>
      <c r="CA15" s="22">
        <v>15096.811150166637</v>
      </c>
      <c r="CB15" s="22">
        <v>14544.976301797478</v>
      </c>
      <c r="CC15" s="22">
        <v>14876.725894773386</v>
      </c>
      <c r="CD15" s="22">
        <v>16622.434947106623</v>
      </c>
      <c r="CE15" s="22">
        <v>15922.862856322503</v>
      </c>
      <c r="CF15" s="22">
        <v>15468.067249522359</v>
      </c>
      <c r="CG15" s="22">
        <v>15430.090658175381</v>
      </c>
      <c r="CH15" s="22">
        <v>17134.602378740696</v>
      </c>
      <c r="CI15" s="23">
        <v>15855.360667627945</v>
      </c>
    </row>
    <row r="16" spans="1:87" ht="14" x14ac:dyDescent="0.2">
      <c r="A16" s="24"/>
      <c r="B16" s="25" t="s">
        <v>20</v>
      </c>
      <c r="C16" s="26" t="s">
        <v>21</v>
      </c>
      <c r="D16" s="27">
        <v>6592.3891975856441</v>
      </c>
      <c r="E16" s="27">
        <v>6869.3947188397888</v>
      </c>
      <c r="F16" s="27">
        <v>6834.0477549838497</v>
      </c>
      <c r="G16" s="27">
        <v>7134.1683285907147</v>
      </c>
      <c r="H16" s="27">
        <v>6865.1488856243086</v>
      </c>
      <c r="I16" s="27">
        <v>6797.3003664315893</v>
      </c>
      <c r="J16" s="27">
        <v>7082.3134302290837</v>
      </c>
      <c r="K16" s="27">
        <v>7314.2373177150203</v>
      </c>
      <c r="L16" s="27">
        <v>6722.2691206467762</v>
      </c>
      <c r="M16" s="27">
        <v>6878.8021760431247</v>
      </c>
      <c r="N16" s="27">
        <v>7124.0002802996196</v>
      </c>
      <c r="O16" s="27">
        <v>7708.9284230104786</v>
      </c>
      <c r="P16" s="27">
        <v>7463.2657796188432</v>
      </c>
      <c r="Q16" s="27">
        <v>7589.8045861392966</v>
      </c>
      <c r="R16" s="27">
        <v>7913.3792966247302</v>
      </c>
      <c r="S16" s="27">
        <v>8134.5503376171291</v>
      </c>
      <c r="T16" s="27">
        <v>8054.5976880708022</v>
      </c>
      <c r="U16" s="27">
        <v>8417.00660423724</v>
      </c>
      <c r="V16" s="27">
        <v>8698.6562035800889</v>
      </c>
      <c r="W16" s="27">
        <v>9488.7395041118707</v>
      </c>
      <c r="X16" s="27">
        <v>9243.1811003188977</v>
      </c>
      <c r="Y16" s="27">
        <v>9722.9479612901159</v>
      </c>
      <c r="Z16" s="27">
        <v>9487.7341286728406</v>
      </c>
      <c r="AA16" s="27">
        <v>9973.1368097181457</v>
      </c>
      <c r="AB16" s="27">
        <v>10169.973734369238</v>
      </c>
      <c r="AC16" s="27">
        <v>10924.630162088622</v>
      </c>
      <c r="AD16" s="27">
        <v>11205.700074270844</v>
      </c>
      <c r="AE16" s="27">
        <v>11673.696029271297</v>
      </c>
      <c r="AF16" s="27">
        <v>11328.973974758364</v>
      </c>
      <c r="AG16" s="27">
        <v>11547.730115635586</v>
      </c>
      <c r="AH16" s="27">
        <v>11437.228015905906</v>
      </c>
      <c r="AI16" s="27">
        <v>12021.067893700147</v>
      </c>
      <c r="AJ16" s="27">
        <v>11666.955393451548</v>
      </c>
      <c r="AK16" s="27">
        <v>12100.883637829356</v>
      </c>
      <c r="AL16" s="27">
        <v>12193.107080474734</v>
      </c>
      <c r="AM16" s="27">
        <v>12833.05388824436</v>
      </c>
      <c r="AN16" s="27">
        <v>12147.824351345884</v>
      </c>
      <c r="AO16" s="27">
        <v>11648.28059837503</v>
      </c>
      <c r="AP16" s="27">
        <v>11904.876800894561</v>
      </c>
      <c r="AQ16" s="27">
        <v>12435.018249384531</v>
      </c>
      <c r="AR16" s="27">
        <v>11822.424312557954</v>
      </c>
      <c r="AS16" s="27">
        <v>11981.225356495092</v>
      </c>
      <c r="AT16" s="27">
        <v>11604.119645489236</v>
      </c>
      <c r="AU16" s="27">
        <v>12219.230685457713</v>
      </c>
      <c r="AV16" s="27">
        <v>11686.430925273551</v>
      </c>
      <c r="AW16" s="27">
        <v>11380.396443516865</v>
      </c>
      <c r="AX16" s="27">
        <v>11476.118831516069</v>
      </c>
      <c r="AY16" s="27">
        <v>11710.053799693515</v>
      </c>
      <c r="AZ16" s="27">
        <v>10729.041836689259</v>
      </c>
      <c r="BA16" s="27">
        <v>10852.107130299551</v>
      </c>
      <c r="BB16" s="27">
        <v>10732.087139257505</v>
      </c>
      <c r="BC16" s="27">
        <v>11278.763893753685</v>
      </c>
      <c r="BD16" s="27">
        <v>10228.693425993708</v>
      </c>
      <c r="BE16" s="27">
        <v>10506.302158456372</v>
      </c>
      <c r="BF16" s="27">
        <v>10740.397354757051</v>
      </c>
      <c r="BG16" s="27">
        <v>11392.607060792876</v>
      </c>
      <c r="BH16" s="27">
        <v>10714.290783805731</v>
      </c>
      <c r="BI16" s="27">
        <v>10558.258415326769</v>
      </c>
      <c r="BJ16" s="27">
        <v>10773.45965534923</v>
      </c>
      <c r="BK16" s="27">
        <v>11646.991145518265</v>
      </c>
      <c r="BL16" s="27">
        <v>10372.589955725565</v>
      </c>
      <c r="BM16" s="27">
        <v>8353.028189400773</v>
      </c>
      <c r="BN16" s="27">
        <v>8813.8149858874513</v>
      </c>
      <c r="BO16" s="27">
        <v>9516.5668689862123</v>
      </c>
      <c r="BP16" s="27">
        <v>8916.1365662895732</v>
      </c>
      <c r="BQ16" s="27">
        <v>8788.8474739157027</v>
      </c>
      <c r="BR16" s="27">
        <v>9025.3913866525363</v>
      </c>
      <c r="BS16" s="27">
        <v>10249.624573142184</v>
      </c>
      <c r="BT16" s="27">
        <v>9106.7118632259444</v>
      </c>
      <c r="BU16" s="27">
        <v>9076.7184840455375</v>
      </c>
      <c r="BV16" s="27">
        <v>9664.3824028832187</v>
      </c>
      <c r="BW16" s="27">
        <v>9670.1872498452994</v>
      </c>
      <c r="BX16" s="27">
        <v>9404.7981800794896</v>
      </c>
      <c r="BY16" s="27">
        <v>9382.9908795893498</v>
      </c>
      <c r="BZ16" s="27">
        <v>9868.8485460785541</v>
      </c>
      <c r="CA16" s="27">
        <v>9824.3623942526046</v>
      </c>
      <c r="CB16" s="27">
        <v>9334.09282761125</v>
      </c>
      <c r="CC16" s="27">
        <v>9205.0127933136428</v>
      </c>
      <c r="CD16" s="27">
        <v>9315.8092962285082</v>
      </c>
      <c r="CE16" s="27">
        <v>9313.0850828466009</v>
      </c>
      <c r="CF16" s="27">
        <v>8800.0099948878251</v>
      </c>
      <c r="CG16" s="27">
        <v>8260.834402578339</v>
      </c>
      <c r="CH16" s="27">
        <v>8764.5722311617428</v>
      </c>
      <c r="CI16" s="28">
        <v>9042.8604354624513</v>
      </c>
    </row>
    <row r="17" spans="1:97" ht="14" x14ac:dyDescent="0.2">
      <c r="A17" s="29"/>
      <c r="B17" s="20" t="s">
        <v>22</v>
      </c>
      <c r="C17" s="21" t="s">
        <v>23</v>
      </c>
      <c r="D17" s="22">
        <v>17589.141246703002</v>
      </c>
      <c r="E17" s="22">
        <v>19231.588785656255</v>
      </c>
      <c r="F17" s="22">
        <v>20020.827903432124</v>
      </c>
      <c r="G17" s="22">
        <v>20410.442064208612</v>
      </c>
      <c r="H17" s="22">
        <v>18696.145170462663</v>
      </c>
      <c r="I17" s="22">
        <v>19896.253635413832</v>
      </c>
      <c r="J17" s="22">
        <v>21916.025152400412</v>
      </c>
      <c r="K17" s="22">
        <v>22376.576041723092</v>
      </c>
      <c r="L17" s="22">
        <v>20585.557799923732</v>
      </c>
      <c r="M17" s="22">
        <v>21585.349968786653</v>
      </c>
      <c r="N17" s="22">
        <v>23114.861871749763</v>
      </c>
      <c r="O17" s="22">
        <v>24034.230359539863</v>
      </c>
      <c r="P17" s="22">
        <v>21455.897663624466</v>
      </c>
      <c r="Q17" s="22">
        <v>22279.229271088472</v>
      </c>
      <c r="R17" s="22">
        <v>23089.636473729613</v>
      </c>
      <c r="S17" s="22">
        <v>22814.236591557445</v>
      </c>
      <c r="T17" s="22">
        <v>20534.212820207158</v>
      </c>
      <c r="U17" s="22">
        <v>20829.398762287285</v>
      </c>
      <c r="V17" s="22">
        <v>22290.690421774405</v>
      </c>
      <c r="W17" s="22">
        <v>22699.697995731152</v>
      </c>
      <c r="X17" s="22">
        <v>20599.937748822093</v>
      </c>
      <c r="Y17" s="22">
        <v>21568.780559555849</v>
      </c>
      <c r="Z17" s="22">
        <v>22505.659336835193</v>
      </c>
      <c r="AA17" s="22">
        <v>23305.622354786861</v>
      </c>
      <c r="AB17" s="22">
        <v>21875.783164757944</v>
      </c>
      <c r="AC17" s="22">
        <v>22592.285192043157</v>
      </c>
      <c r="AD17" s="22">
        <v>24227.686455753348</v>
      </c>
      <c r="AE17" s="22">
        <v>24200.245187445536</v>
      </c>
      <c r="AF17" s="22">
        <v>22554.934926186201</v>
      </c>
      <c r="AG17" s="22">
        <v>22856.841010713553</v>
      </c>
      <c r="AH17" s="22">
        <v>24219.153232049739</v>
      </c>
      <c r="AI17" s="22">
        <v>24036.070831050503</v>
      </c>
      <c r="AJ17" s="22">
        <v>21586.526800794298</v>
      </c>
      <c r="AK17" s="22">
        <v>23707.988110991366</v>
      </c>
      <c r="AL17" s="22">
        <v>24754.431932384519</v>
      </c>
      <c r="AM17" s="22">
        <v>25032.053155829803</v>
      </c>
      <c r="AN17" s="22">
        <v>23069.198406237956</v>
      </c>
      <c r="AO17" s="22">
        <v>23912.26496363441</v>
      </c>
      <c r="AP17" s="22">
        <v>25352.406524032805</v>
      </c>
      <c r="AQ17" s="22">
        <v>25495.130106094821</v>
      </c>
      <c r="AR17" s="22">
        <v>23229.66832970647</v>
      </c>
      <c r="AS17" s="22">
        <v>24148.232493039839</v>
      </c>
      <c r="AT17" s="22">
        <v>25925.717455009075</v>
      </c>
      <c r="AU17" s="22">
        <v>26485.381722244616</v>
      </c>
      <c r="AV17" s="22">
        <v>24236.419347164738</v>
      </c>
      <c r="AW17" s="22">
        <v>25602.73758935467</v>
      </c>
      <c r="AX17" s="22">
        <v>26290.84279517617</v>
      </c>
      <c r="AY17" s="22">
        <v>26876.000268304411</v>
      </c>
      <c r="AZ17" s="22">
        <v>24391.063011059527</v>
      </c>
      <c r="BA17" s="22">
        <v>24436.14142823478</v>
      </c>
      <c r="BB17" s="22">
        <v>26003.398138450502</v>
      </c>
      <c r="BC17" s="22">
        <v>26304.397422255199</v>
      </c>
      <c r="BD17" s="22">
        <v>23834.358614226316</v>
      </c>
      <c r="BE17" s="22">
        <v>25367.316320449841</v>
      </c>
      <c r="BF17" s="22">
        <v>26513.097558403766</v>
      </c>
      <c r="BG17" s="22">
        <v>26912.227506920062</v>
      </c>
      <c r="BH17" s="22">
        <v>24377.308298212512</v>
      </c>
      <c r="BI17" s="22">
        <v>25331.828468885113</v>
      </c>
      <c r="BJ17" s="22">
        <v>26876.768378420351</v>
      </c>
      <c r="BK17" s="22">
        <v>27274.094854482038</v>
      </c>
      <c r="BL17" s="22">
        <v>24082.00546854264</v>
      </c>
      <c r="BM17" s="22">
        <v>18387.012328580757</v>
      </c>
      <c r="BN17" s="22">
        <v>24804.771211043626</v>
      </c>
      <c r="BO17" s="22">
        <v>26980.210991832984</v>
      </c>
      <c r="BP17" s="22">
        <v>25251.991530261104</v>
      </c>
      <c r="BQ17" s="22">
        <v>24095.480103177364</v>
      </c>
      <c r="BR17" s="22">
        <v>28505.91090999755</v>
      </c>
      <c r="BS17" s="22">
        <v>29212.617456563981</v>
      </c>
      <c r="BT17" s="22">
        <v>27301.262579831073</v>
      </c>
      <c r="BU17" s="22">
        <v>28402.715838706798</v>
      </c>
      <c r="BV17" s="22">
        <v>30101.685713490049</v>
      </c>
      <c r="BW17" s="22">
        <v>29996.335867972066</v>
      </c>
      <c r="BX17" s="22">
        <v>28122.632376243204</v>
      </c>
      <c r="BY17" s="22">
        <v>27987.520679975634</v>
      </c>
      <c r="BZ17" s="22">
        <v>28867.952568113848</v>
      </c>
      <c r="CA17" s="22">
        <v>28946.894375667322</v>
      </c>
      <c r="CB17" s="22">
        <v>26568.444501114038</v>
      </c>
      <c r="CC17" s="22">
        <v>27416.93077023391</v>
      </c>
      <c r="CD17" s="22">
        <v>28217.096571121034</v>
      </c>
      <c r="CE17" s="22">
        <v>28800.528157531025</v>
      </c>
      <c r="CF17" s="22">
        <v>26947.139626963872</v>
      </c>
      <c r="CG17" s="22">
        <v>27631.096377055168</v>
      </c>
      <c r="CH17" s="22">
        <v>29383.819437542606</v>
      </c>
      <c r="CI17" s="23">
        <v>29094.506442743652</v>
      </c>
    </row>
    <row r="18" spans="1:97" ht="28" x14ac:dyDescent="0.2">
      <c r="A18" s="24"/>
      <c r="B18" s="25" t="s">
        <v>24</v>
      </c>
      <c r="C18" s="26" t="s">
        <v>25</v>
      </c>
      <c r="D18" s="27">
        <v>4569.4658811086947</v>
      </c>
      <c r="E18" s="27">
        <v>4654.2026951216712</v>
      </c>
      <c r="F18" s="27">
        <v>4723.8286808592702</v>
      </c>
      <c r="G18" s="27">
        <v>4737.5027429103657</v>
      </c>
      <c r="H18" s="27">
        <v>4806.4048877948326</v>
      </c>
      <c r="I18" s="27">
        <v>4866.9413419964212</v>
      </c>
      <c r="J18" s="27">
        <v>4954.77643204582</v>
      </c>
      <c r="K18" s="27">
        <v>5050.8773381629262</v>
      </c>
      <c r="L18" s="27">
        <v>5116.3782416426766</v>
      </c>
      <c r="M18" s="27">
        <v>5061.9166450620296</v>
      </c>
      <c r="N18" s="27">
        <v>5125.0680797609484</v>
      </c>
      <c r="O18" s="27">
        <v>5207.6370335343436</v>
      </c>
      <c r="P18" s="27">
        <v>5034.5067371294299</v>
      </c>
      <c r="Q18" s="27">
        <v>5105.0711501855612</v>
      </c>
      <c r="R18" s="27">
        <v>5200.1237035585473</v>
      </c>
      <c r="S18" s="27">
        <v>5279.2984091264607</v>
      </c>
      <c r="T18" s="27">
        <v>5058.2892804259745</v>
      </c>
      <c r="U18" s="27">
        <v>5149.9549458871143</v>
      </c>
      <c r="V18" s="27">
        <v>5358.7950007975533</v>
      </c>
      <c r="W18" s="27">
        <v>5545.9607728893598</v>
      </c>
      <c r="X18" s="27">
        <v>5477.8293021291593</v>
      </c>
      <c r="Y18" s="27">
        <v>5447.4050097335858</v>
      </c>
      <c r="Z18" s="27">
        <v>5517.4241419649161</v>
      </c>
      <c r="AA18" s="27">
        <v>5492.3415461723425</v>
      </c>
      <c r="AB18" s="27">
        <v>5611.6599945922881</v>
      </c>
      <c r="AC18" s="27">
        <v>5583.2289540932015</v>
      </c>
      <c r="AD18" s="27">
        <v>5701.7854462818077</v>
      </c>
      <c r="AE18" s="27">
        <v>5711.3256050327045</v>
      </c>
      <c r="AF18" s="27">
        <v>5734.2275505460311</v>
      </c>
      <c r="AG18" s="27">
        <v>5709.7382332717571</v>
      </c>
      <c r="AH18" s="27">
        <v>5841.8435629179394</v>
      </c>
      <c r="AI18" s="27">
        <v>5808.1906532642715</v>
      </c>
      <c r="AJ18" s="27">
        <v>5847.2276314261153</v>
      </c>
      <c r="AK18" s="27">
        <v>5978.5050117179744</v>
      </c>
      <c r="AL18" s="27">
        <v>6062.4854951356792</v>
      </c>
      <c r="AM18" s="27">
        <v>6061.7818617202302</v>
      </c>
      <c r="AN18" s="27">
        <v>6109.9746608050282</v>
      </c>
      <c r="AO18" s="27">
        <v>6198.7076937671036</v>
      </c>
      <c r="AP18" s="27">
        <v>6289.2440044945342</v>
      </c>
      <c r="AQ18" s="27">
        <v>6175.0736409333304</v>
      </c>
      <c r="AR18" s="27">
        <v>6069.8840334941378</v>
      </c>
      <c r="AS18" s="27">
        <v>6065.2999184986038</v>
      </c>
      <c r="AT18" s="27">
        <v>6266.4381856743976</v>
      </c>
      <c r="AU18" s="27">
        <v>6197.3778623328553</v>
      </c>
      <c r="AV18" s="27">
        <v>6137.182812571029</v>
      </c>
      <c r="AW18" s="27">
        <v>6011.91983507022</v>
      </c>
      <c r="AX18" s="27">
        <v>6214.772197510626</v>
      </c>
      <c r="AY18" s="27">
        <v>6233.125154848125</v>
      </c>
      <c r="AZ18" s="27">
        <v>6168.4074151095119</v>
      </c>
      <c r="BA18" s="27">
        <v>6200.6570564969697</v>
      </c>
      <c r="BB18" s="27">
        <v>6462.2662624725181</v>
      </c>
      <c r="BC18" s="27">
        <v>6475.6692659209984</v>
      </c>
      <c r="BD18" s="27">
        <v>6294.5868431561557</v>
      </c>
      <c r="BE18" s="27">
        <v>6370.4433863141285</v>
      </c>
      <c r="BF18" s="27">
        <v>6655.0360508708891</v>
      </c>
      <c r="BG18" s="27">
        <v>6631.9337196588276</v>
      </c>
      <c r="BH18" s="27">
        <v>6491.7604429944686</v>
      </c>
      <c r="BI18" s="27">
        <v>6540.1255736350931</v>
      </c>
      <c r="BJ18" s="27">
        <v>6819.5981371551607</v>
      </c>
      <c r="BK18" s="27">
        <v>6754.5158462152795</v>
      </c>
      <c r="BL18" s="27">
        <v>6612.8675216878482</v>
      </c>
      <c r="BM18" s="27">
        <v>5923.1188109006216</v>
      </c>
      <c r="BN18" s="27">
        <v>6431.8585856317368</v>
      </c>
      <c r="BO18" s="27">
        <v>6619.1550817797943</v>
      </c>
      <c r="BP18" s="27">
        <v>6522.1206245558578</v>
      </c>
      <c r="BQ18" s="27">
        <v>6483.784491341743</v>
      </c>
      <c r="BR18" s="27">
        <v>6987.0197987034535</v>
      </c>
      <c r="BS18" s="27">
        <v>7086.0750853989457</v>
      </c>
      <c r="BT18" s="27">
        <v>6904.801171042147</v>
      </c>
      <c r="BU18" s="27">
        <v>6973.484908743596</v>
      </c>
      <c r="BV18" s="27">
        <v>7205.5572857857487</v>
      </c>
      <c r="BW18" s="27">
        <v>7243.1566344285075</v>
      </c>
      <c r="BX18" s="27">
        <v>7069.1279585322191</v>
      </c>
      <c r="BY18" s="27">
        <v>7148.6123863803459</v>
      </c>
      <c r="BZ18" s="27">
        <v>7473.9116102588096</v>
      </c>
      <c r="CA18" s="27">
        <v>7529.3480448286255</v>
      </c>
      <c r="CB18" s="27">
        <v>7462.8135841200356</v>
      </c>
      <c r="CC18" s="27">
        <v>7363.8830543543427</v>
      </c>
      <c r="CD18" s="27">
        <v>7572.2762612496663</v>
      </c>
      <c r="CE18" s="27">
        <v>7549.0271002759564</v>
      </c>
      <c r="CF18" s="27">
        <v>7363.7066060630368</v>
      </c>
      <c r="CG18" s="27">
        <v>7430.313526713634</v>
      </c>
      <c r="CH18" s="27">
        <v>7728.298700650198</v>
      </c>
      <c r="CI18" s="28">
        <v>7767.2836008647992</v>
      </c>
    </row>
    <row r="19" spans="1:97" ht="14" x14ac:dyDescent="0.2">
      <c r="A19" s="19"/>
      <c r="B19" s="20" t="s">
        <v>26</v>
      </c>
      <c r="C19" s="21" t="s">
        <v>27</v>
      </c>
      <c r="D19" s="22">
        <v>7664.201553939627</v>
      </c>
      <c r="E19" s="22">
        <v>6279.218300076046</v>
      </c>
      <c r="F19" s="22">
        <v>7076.3523180161501</v>
      </c>
      <c r="G19" s="22">
        <v>8788.2278279681777</v>
      </c>
      <c r="H19" s="22">
        <v>8116.890627869916</v>
      </c>
      <c r="I19" s="22">
        <v>6978.6756520737008</v>
      </c>
      <c r="J19" s="22">
        <v>8327.2678679814489</v>
      </c>
      <c r="K19" s="22">
        <v>10004.165852074933</v>
      </c>
      <c r="L19" s="22">
        <v>8636.1702586762913</v>
      </c>
      <c r="M19" s="22">
        <v>8330.4975692937551</v>
      </c>
      <c r="N19" s="22">
        <v>8744.1252052421769</v>
      </c>
      <c r="O19" s="22">
        <v>10036.206966787773</v>
      </c>
      <c r="P19" s="22">
        <v>8762.6427185046596</v>
      </c>
      <c r="Q19" s="22">
        <v>9786.360587981957</v>
      </c>
      <c r="R19" s="22">
        <v>10723.559044555581</v>
      </c>
      <c r="S19" s="22">
        <v>10016.437648957804</v>
      </c>
      <c r="T19" s="22">
        <v>8473.317588808115</v>
      </c>
      <c r="U19" s="22">
        <v>10614.757191346444</v>
      </c>
      <c r="V19" s="22">
        <v>10347.871494666177</v>
      </c>
      <c r="W19" s="22">
        <v>10880.053725179267</v>
      </c>
      <c r="X19" s="22">
        <v>8909.8084481509795</v>
      </c>
      <c r="Y19" s="22">
        <v>9646.8102405450827</v>
      </c>
      <c r="Z19" s="22">
        <v>9941.5969644500256</v>
      </c>
      <c r="AA19" s="22">
        <v>11549.784346853916</v>
      </c>
      <c r="AB19" s="22">
        <v>9096.0198407532826</v>
      </c>
      <c r="AC19" s="22">
        <v>10513.934928665854</v>
      </c>
      <c r="AD19" s="22">
        <v>11102.806875730601</v>
      </c>
      <c r="AE19" s="22">
        <v>11823.238354850266</v>
      </c>
      <c r="AF19" s="22">
        <v>10710.469282068796</v>
      </c>
      <c r="AG19" s="22">
        <v>12076.412460264519</v>
      </c>
      <c r="AH19" s="22">
        <v>10256.52788900628</v>
      </c>
      <c r="AI19" s="22">
        <v>12007.590368660403</v>
      </c>
      <c r="AJ19" s="22">
        <v>10894.652846063447</v>
      </c>
      <c r="AK19" s="22">
        <v>12755.640648241369</v>
      </c>
      <c r="AL19" s="22">
        <v>13063.173709329827</v>
      </c>
      <c r="AM19" s="22">
        <v>13417.532796365354</v>
      </c>
      <c r="AN19" s="22">
        <v>12469.588755315379</v>
      </c>
      <c r="AO19" s="22">
        <v>13578.946248647691</v>
      </c>
      <c r="AP19" s="22">
        <v>14398.541427162718</v>
      </c>
      <c r="AQ19" s="22">
        <v>14154.92356887421</v>
      </c>
      <c r="AR19" s="22">
        <v>13195.719689745654</v>
      </c>
      <c r="AS19" s="22">
        <v>14903.054414401891</v>
      </c>
      <c r="AT19" s="22">
        <v>14659.670332221784</v>
      </c>
      <c r="AU19" s="22">
        <v>15283.555563630671</v>
      </c>
      <c r="AV19" s="22">
        <v>14339.670210967239</v>
      </c>
      <c r="AW19" s="22">
        <v>15286.251980406818</v>
      </c>
      <c r="AX19" s="22">
        <v>15325.917955028111</v>
      </c>
      <c r="AY19" s="22">
        <v>15173.159853597825</v>
      </c>
      <c r="AZ19" s="22">
        <v>13715.936825874836</v>
      </c>
      <c r="BA19" s="22">
        <v>15117.398501079651</v>
      </c>
      <c r="BB19" s="22">
        <v>15003.006505441846</v>
      </c>
      <c r="BC19" s="22">
        <v>15070.658167603669</v>
      </c>
      <c r="BD19" s="22">
        <v>13571.102733870137</v>
      </c>
      <c r="BE19" s="22">
        <v>14121.169773580197</v>
      </c>
      <c r="BF19" s="22">
        <v>15326.309424001352</v>
      </c>
      <c r="BG19" s="22">
        <v>15137.418068548315</v>
      </c>
      <c r="BH19" s="22">
        <v>13598.258697065879</v>
      </c>
      <c r="BI19" s="22">
        <v>13877.765306571473</v>
      </c>
      <c r="BJ19" s="22">
        <v>14015.097426901919</v>
      </c>
      <c r="BK19" s="22">
        <v>14401.878569460725</v>
      </c>
      <c r="BL19" s="22">
        <v>11086.692077283715</v>
      </c>
      <c r="BM19" s="22">
        <v>7838.7481118424575</v>
      </c>
      <c r="BN19" s="22">
        <v>9796.7456359068274</v>
      </c>
      <c r="BO19" s="22">
        <v>10636.814174967001</v>
      </c>
      <c r="BP19" s="22">
        <v>10305.012949264014</v>
      </c>
      <c r="BQ19" s="22">
        <v>9706.9535974599439</v>
      </c>
      <c r="BR19" s="22">
        <v>9771.9111195443584</v>
      </c>
      <c r="BS19" s="22">
        <v>11255.122333731682</v>
      </c>
      <c r="BT19" s="22">
        <v>10827.442050667039</v>
      </c>
      <c r="BU19" s="22">
        <v>10621.911892470796</v>
      </c>
      <c r="BV19" s="22">
        <v>11169.294157957305</v>
      </c>
      <c r="BW19" s="22">
        <v>11146.351898904859</v>
      </c>
      <c r="BX19" s="22">
        <v>10630.610709749652</v>
      </c>
      <c r="BY19" s="22">
        <v>10483.336770142338</v>
      </c>
      <c r="BZ19" s="22">
        <v>10337.713883624789</v>
      </c>
      <c r="CA19" s="22">
        <v>10960.338636483219</v>
      </c>
      <c r="CB19" s="22">
        <v>10571.504884774575</v>
      </c>
      <c r="CC19" s="22">
        <v>10494.319994703797</v>
      </c>
      <c r="CD19" s="22">
        <v>10549.123979129319</v>
      </c>
      <c r="CE19" s="22">
        <v>10833.05114139231</v>
      </c>
      <c r="CF19" s="22">
        <v>10253.10900398768</v>
      </c>
      <c r="CG19" s="22">
        <v>10119.096030684872</v>
      </c>
      <c r="CH19" s="22">
        <v>10350.991423843938</v>
      </c>
      <c r="CI19" s="23">
        <v>10549.856610037737</v>
      </c>
    </row>
    <row r="20" spans="1:97" ht="28" x14ac:dyDescent="0.2">
      <c r="A20" s="30"/>
      <c r="B20" s="25" t="s">
        <v>28</v>
      </c>
      <c r="C20" s="26" t="s">
        <v>29</v>
      </c>
      <c r="D20" s="27">
        <v>19640.391196882894</v>
      </c>
      <c r="E20" s="27">
        <v>20946.161782456809</v>
      </c>
      <c r="F20" s="27">
        <v>21324.236015088514</v>
      </c>
      <c r="G20" s="27">
        <v>23516.211005571786</v>
      </c>
      <c r="H20" s="27">
        <v>20786.839151660664</v>
      </c>
      <c r="I20" s="27">
        <v>22218.285108762026</v>
      </c>
      <c r="J20" s="27">
        <v>23316.259205516122</v>
      </c>
      <c r="K20" s="27">
        <v>25604.616534061184</v>
      </c>
      <c r="L20" s="27">
        <v>22680.961699334963</v>
      </c>
      <c r="M20" s="27">
        <v>24012.078006286454</v>
      </c>
      <c r="N20" s="27">
        <v>24969.725954740155</v>
      </c>
      <c r="O20" s="27">
        <v>27680.234339638424</v>
      </c>
      <c r="P20" s="27">
        <v>24083.328479292675</v>
      </c>
      <c r="Q20" s="27">
        <v>24987.794120025461</v>
      </c>
      <c r="R20" s="27">
        <v>25526.739181220986</v>
      </c>
      <c r="S20" s="27">
        <v>27748.138219460874</v>
      </c>
      <c r="T20" s="27">
        <v>23694.794609845794</v>
      </c>
      <c r="U20" s="27">
        <v>24819.380722824731</v>
      </c>
      <c r="V20" s="27">
        <v>25578.98757257079</v>
      </c>
      <c r="W20" s="27">
        <v>28091.837094758692</v>
      </c>
      <c r="X20" s="27">
        <v>24763.730569989126</v>
      </c>
      <c r="Y20" s="27">
        <v>25986.494081672859</v>
      </c>
      <c r="Z20" s="27">
        <v>26939.106865408961</v>
      </c>
      <c r="AA20" s="27">
        <v>29957.668482929064</v>
      </c>
      <c r="AB20" s="27">
        <v>26384.518197812653</v>
      </c>
      <c r="AC20" s="27">
        <v>28029.434881403227</v>
      </c>
      <c r="AD20" s="27">
        <v>28993.040864712122</v>
      </c>
      <c r="AE20" s="27">
        <v>31656.006056071998</v>
      </c>
      <c r="AF20" s="27">
        <v>28030.094706394146</v>
      </c>
      <c r="AG20" s="27">
        <v>29187.252068635364</v>
      </c>
      <c r="AH20" s="27">
        <v>29745.27324488309</v>
      </c>
      <c r="AI20" s="27">
        <v>32490.379980087411</v>
      </c>
      <c r="AJ20" s="27">
        <v>28781.368538174342</v>
      </c>
      <c r="AK20" s="27">
        <v>30659.918538042431</v>
      </c>
      <c r="AL20" s="27">
        <v>31290.787947488399</v>
      </c>
      <c r="AM20" s="27">
        <v>34416.924976294831</v>
      </c>
      <c r="AN20" s="27">
        <v>30361.573363064701</v>
      </c>
      <c r="AO20" s="27">
        <v>31948.678821920083</v>
      </c>
      <c r="AP20" s="27">
        <v>32734.374553137393</v>
      </c>
      <c r="AQ20" s="27">
        <v>36018.373261877823</v>
      </c>
      <c r="AR20" s="27">
        <v>31452.895161974782</v>
      </c>
      <c r="AS20" s="27">
        <v>32855.095348060197</v>
      </c>
      <c r="AT20" s="27">
        <v>33856.42351740889</v>
      </c>
      <c r="AU20" s="27">
        <v>37264.585972556146</v>
      </c>
      <c r="AV20" s="27">
        <v>32577.694994460486</v>
      </c>
      <c r="AW20" s="27">
        <v>33669.426512613936</v>
      </c>
      <c r="AX20" s="27">
        <v>34592.099800304699</v>
      </c>
      <c r="AY20" s="27">
        <v>38226.778692620879</v>
      </c>
      <c r="AZ20" s="27">
        <v>32976.282422689292</v>
      </c>
      <c r="BA20" s="27">
        <v>34438.580474018447</v>
      </c>
      <c r="BB20" s="27">
        <v>35788.653499201333</v>
      </c>
      <c r="BC20" s="27">
        <v>38448.483604090936</v>
      </c>
      <c r="BD20" s="27">
        <v>34235.811667842267</v>
      </c>
      <c r="BE20" s="27">
        <v>35461.930617655555</v>
      </c>
      <c r="BF20" s="27">
        <v>36420.056192885699</v>
      </c>
      <c r="BG20" s="27">
        <v>39320.201521616487</v>
      </c>
      <c r="BH20" s="27">
        <v>34982.890125739061</v>
      </c>
      <c r="BI20" s="27">
        <v>36658.561233825079</v>
      </c>
      <c r="BJ20" s="27">
        <v>38239.193696239607</v>
      </c>
      <c r="BK20" s="27">
        <v>41009.354944196231</v>
      </c>
      <c r="BL20" s="27">
        <v>36054.61524241617</v>
      </c>
      <c r="BM20" s="27">
        <v>24740.586287156184</v>
      </c>
      <c r="BN20" s="27">
        <v>30547.513697936269</v>
      </c>
      <c r="BO20" s="27">
        <v>38892.284772491381</v>
      </c>
      <c r="BP20" s="27">
        <v>35506.804687598</v>
      </c>
      <c r="BQ20" s="27">
        <v>34612.928099357152</v>
      </c>
      <c r="BR20" s="27">
        <v>40031.074635816141</v>
      </c>
      <c r="BS20" s="27">
        <v>46664.192577228685</v>
      </c>
      <c r="BT20" s="27">
        <v>40847.977193251565</v>
      </c>
      <c r="BU20" s="27">
        <v>42630.469265488493</v>
      </c>
      <c r="BV20" s="27">
        <v>44588.87258862696</v>
      </c>
      <c r="BW20" s="27">
        <v>47383.680952632989</v>
      </c>
      <c r="BX20" s="27">
        <v>40482.127804196651</v>
      </c>
      <c r="BY20" s="27">
        <v>40764.790077140628</v>
      </c>
      <c r="BZ20" s="27">
        <v>41939.340007007755</v>
      </c>
      <c r="CA20" s="27">
        <v>45880.742111654996</v>
      </c>
      <c r="CB20" s="27">
        <v>40088.070170041356</v>
      </c>
      <c r="CC20" s="27">
        <v>40740.82638041579</v>
      </c>
      <c r="CD20" s="27">
        <v>42379.817065147756</v>
      </c>
      <c r="CE20" s="27">
        <v>47942.286384395091</v>
      </c>
      <c r="CF20" s="27">
        <v>41566.057179567681</v>
      </c>
      <c r="CG20" s="27">
        <v>43106.400252360516</v>
      </c>
      <c r="CH20" s="27">
        <v>44774.811776479255</v>
      </c>
      <c r="CI20" s="28">
        <v>49574.508129694048</v>
      </c>
    </row>
    <row r="21" spans="1:97" ht="14" x14ac:dyDescent="0.2">
      <c r="A21" s="29"/>
      <c r="B21" s="20" t="s">
        <v>30</v>
      </c>
      <c r="C21" s="21" t="s">
        <v>31</v>
      </c>
      <c r="D21" s="22">
        <v>2844.2886069481233</v>
      </c>
      <c r="E21" s="22">
        <v>3064.9642255793897</v>
      </c>
      <c r="F21" s="22">
        <v>2948.8701998817487</v>
      </c>
      <c r="G21" s="22">
        <v>3871.8769675907379</v>
      </c>
      <c r="H21" s="22">
        <v>3373.8842704823132</v>
      </c>
      <c r="I21" s="22">
        <v>3685.3630635596219</v>
      </c>
      <c r="J21" s="22">
        <v>3482.4947533903146</v>
      </c>
      <c r="K21" s="22">
        <v>4087.2579125677512</v>
      </c>
      <c r="L21" s="22">
        <v>3792.7595019665378</v>
      </c>
      <c r="M21" s="22">
        <v>3979.1224198324444</v>
      </c>
      <c r="N21" s="22">
        <v>4361.3480821260036</v>
      </c>
      <c r="O21" s="22">
        <v>4627.7699960750151</v>
      </c>
      <c r="P21" s="22">
        <v>4074.9789825019639</v>
      </c>
      <c r="Q21" s="22">
        <v>4182.6272441611882</v>
      </c>
      <c r="R21" s="22">
        <v>4378.0880468509249</v>
      </c>
      <c r="S21" s="22">
        <v>4484.3057264859244</v>
      </c>
      <c r="T21" s="22">
        <v>3842.6322586105271</v>
      </c>
      <c r="U21" s="22">
        <v>3820.682748468651</v>
      </c>
      <c r="V21" s="22">
        <v>3713.0051155886454</v>
      </c>
      <c r="W21" s="22">
        <v>4292.6798773321771</v>
      </c>
      <c r="X21" s="22">
        <v>4063.0913632407751</v>
      </c>
      <c r="Y21" s="22">
        <v>4461.0159964414497</v>
      </c>
      <c r="Z21" s="22">
        <v>4610.234928758372</v>
      </c>
      <c r="AA21" s="22">
        <v>5121.6577115594027</v>
      </c>
      <c r="AB21" s="22">
        <v>4714.9301694750066</v>
      </c>
      <c r="AC21" s="22">
        <v>4827.3912862169409</v>
      </c>
      <c r="AD21" s="22">
        <v>5076.5355026567222</v>
      </c>
      <c r="AE21" s="22">
        <v>5534.1430416513294</v>
      </c>
      <c r="AF21" s="22">
        <v>4855.8277194930615</v>
      </c>
      <c r="AG21" s="22">
        <v>4875.4269657307086</v>
      </c>
      <c r="AH21" s="22">
        <v>4995.1959840052323</v>
      </c>
      <c r="AI21" s="22">
        <v>5688.5493307709994</v>
      </c>
      <c r="AJ21" s="22">
        <v>5170.0999013155115</v>
      </c>
      <c r="AK21" s="22">
        <v>5318.0308015039263</v>
      </c>
      <c r="AL21" s="22">
        <v>5590.6068561930806</v>
      </c>
      <c r="AM21" s="22">
        <v>6139.2624409874825</v>
      </c>
      <c r="AN21" s="22">
        <v>5645.983726099731</v>
      </c>
      <c r="AO21" s="22">
        <v>5808.6139452920625</v>
      </c>
      <c r="AP21" s="22">
        <v>5733.7075692364824</v>
      </c>
      <c r="AQ21" s="22">
        <v>6465.6947593717259</v>
      </c>
      <c r="AR21" s="22">
        <v>5667.8963996011944</v>
      </c>
      <c r="AS21" s="22">
        <v>5762.545845265292</v>
      </c>
      <c r="AT21" s="22">
        <v>5972.0252062736336</v>
      </c>
      <c r="AU21" s="22">
        <v>6558.5325488598837</v>
      </c>
      <c r="AV21" s="22">
        <v>5686.9791673338341</v>
      </c>
      <c r="AW21" s="22">
        <v>5811.0582069097027</v>
      </c>
      <c r="AX21" s="22">
        <v>5921.5831177106938</v>
      </c>
      <c r="AY21" s="22">
        <v>6384.3795080457685</v>
      </c>
      <c r="AZ21" s="22">
        <v>5608.7036404100409</v>
      </c>
      <c r="BA21" s="22">
        <v>5814.2198564152823</v>
      </c>
      <c r="BB21" s="22">
        <v>5749.9205054967961</v>
      </c>
      <c r="BC21" s="22">
        <v>6585.1559976778817</v>
      </c>
      <c r="BD21" s="22">
        <v>5651.2779460571301</v>
      </c>
      <c r="BE21" s="22">
        <v>5971.2314966804252</v>
      </c>
      <c r="BF21" s="22">
        <v>6146.0438146809483</v>
      </c>
      <c r="BG21" s="22">
        <v>6826.4467425814955</v>
      </c>
      <c r="BH21" s="22">
        <v>5839.0837908416579</v>
      </c>
      <c r="BI21" s="22">
        <v>6136.1388061396619</v>
      </c>
      <c r="BJ21" s="22">
        <v>6068.1294115922628</v>
      </c>
      <c r="BK21" s="22">
        <v>6777.6479914264164</v>
      </c>
      <c r="BL21" s="22">
        <v>5873.0649285848667</v>
      </c>
      <c r="BM21" s="22">
        <v>5773.3560466747886</v>
      </c>
      <c r="BN21" s="22">
        <v>5938.6876704294755</v>
      </c>
      <c r="BO21" s="22">
        <v>6547.8913543108683</v>
      </c>
      <c r="BP21" s="22">
        <v>6070.5756537658726</v>
      </c>
      <c r="BQ21" s="22">
        <v>6453.33842696389</v>
      </c>
      <c r="BR21" s="22">
        <v>6784.3066244984784</v>
      </c>
      <c r="BS21" s="22">
        <v>7901.7792947717617</v>
      </c>
      <c r="BT21" s="22">
        <v>7335.7056158983833</v>
      </c>
      <c r="BU21" s="22">
        <v>7528.2755482385819</v>
      </c>
      <c r="BV21" s="22">
        <v>7644.5357479503928</v>
      </c>
      <c r="BW21" s="22">
        <v>8055.4830879126403</v>
      </c>
      <c r="BX21" s="22">
        <v>7515.6430625946659</v>
      </c>
      <c r="BY21" s="22">
        <v>7597.5150471669231</v>
      </c>
      <c r="BZ21" s="22">
        <v>7557.3478817591285</v>
      </c>
      <c r="CA21" s="22">
        <v>8363.4940084792834</v>
      </c>
      <c r="CB21" s="22">
        <v>7342.7284636747763</v>
      </c>
      <c r="CC21" s="22">
        <v>7512.7270539712681</v>
      </c>
      <c r="CD21" s="22">
        <v>7677.2644531705664</v>
      </c>
      <c r="CE21" s="22">
        <v>8436.2800291833919</v>
      </c>
      <c r="CF21" s="22">
        <v>7375.3696243638269</v>
      </c>
      <c r="CG21" s="22">
        <v>7731.4707764102113</v>
      </c>
      <c r="CH21" s="22">
        <v>7823.9085363380836</v>
      </c>
      <c r="CI21" s="23">
        <v>8338.2861334113186</v>
      </c>
    </row>
    <row r="22" spans="1:97" ht="14" x14ac:dyDescent="0.2">
      <c r="A22" s="24"/>
      <c r="B22" s="25" t="s">
        <v>32</v>
      </c>
      <c r="C22" s="26" t="s">
        <v>33</v>
      </c>
      <c r="D22" s="27">
        <v>3810.3817699482247</v>
      </c>
      <c r="E22" s="27">
        <v>3800.1952820582255</v>
      </c>
      <c r="F22" s="27">
        <v>3925.3989264064135</v>
      </c>
      <c r="G22" s="27">
        <v>3888.0240215871363</v>
      </c>
      <c r="H22" s="27">
        <v>4202.7529011162505</v>
      </c>
      <c r="I22" s="27">
        <v>3953.9211733414263</v>
      </c>
      <c r="J22" s="27">
        <v>4048.8949788327236</v>
      </c>
      <c r="K22" s="27">
        <v>4234.4309467095991</v>
      </c>
      <c r="L22" s="27">
        <v>4561.1293314569602</v>
      </c>
      <c r="M22" s="27">
        <v>4599.9341934667809</v>
      </c>
      <c r="N22" s="27">
        <v>4586.0106057321318</v>
      </c>
      <c r="O22" s="27">
        <v>4954.9258693441279</v>
      </c>
      <c r="P22" s="27">
        <v>5099.8619607263827</v>
      </c>
      <c r="Q22" s="27">
        <v>4877.9752441853416</v>
      </c>
      <c r="R22" s="27">
        <v>5070.4059340012118</v>
      </c>
      <c r="S22" s="27">
        <v>5549.7568610870621</v>
      </c>
      <c r="T22" s="27">
        <v>5462.1108035808729</v>
      </c>
      <c r="U22" s="27">
        <v>5157.4931328692282</v>
      </c>
      <c r="V22" s="27">
        <v>5279.5132319321801</v>
      </c>
      <c r="W22" s="27">
        <v>5415.8828316177178</v>
      </c>
      <c r="X22" s="27">
        <v>5296.2106966264464</v>
      </c>
      <c r="Y22" s="27">
        <v>5447.6775304412695</v>
      </c>
      <c r="Z22" s="27">
        <v>5642.0479212853852</v>
      </c>
      <c r="AA22" s="27">
        <v>5926.0638516468998</v>
      </c>
      <c r="AB22" s="27">
        <v>6003.9845898147832</v>
      </c>
      <c r="AC22" s="27">
        <v>6043.1246486932032</v>
      </c>
      <c r="AD22" s="27">
        <v>6166.061525253268</v>
      </c>
      <c r="AE22" s="27">
        <v>6540.8292362387447</v>
      </c>
      <c r="AF22" s="27">
        <v>6524.2746493084569</v>
      </c>
      <c r="AG22" s="27">
        <v>6607.6520853832017</v>
      </c>
      <c r="AH22" s="27">
        <v>6590.4869731256795</v>
      </c>
      <c r="AI22" s="27">
        <v>6903.5862921826592</v>
      </c>
      <c r="AJ22" s="27">
        <v>7169.6678339398159</v>
      </c>
      <c r="AK22" s="27">
        <v>7182.5977047747783</v>
      </c>
      <c r="AL22" s="27">
        <v>7081.2146020132923</v>
      </c>
      <c r="AM22" s="27">
        <v>7726.5198592721117</v>
      </c>
      <c r="AN22" s="27">
        <v>7829.6590828886074</v>
      </c>
      <c r="AO22" s="27">
        <v>7926.7304513448207</v>
      </c>
      <c r="AP22" s="27">
        <v>8038.7946942321496</v>
      </c>
      <c r="AQ22" s="27">
        <v>8343.8157715344223</v>
      </c>
      <c r="AR22" s="27">
        <v>8693.2543484030648</v>
      </c>
      <c r="AS22" s="27">
        <v>8621.3810416544929</v>
      </c>
      <c r="AT22" s="27">
        <v>8717.4249796134427</v>
      </c>
      <c r="AU22" s="27">
        <v>8663.9396303289959</v>
      </c>
      <c r="AV22" s="27">
        <v>8891.1996200916037</v>
      </c>
      <c r="AW22" s="27">
        <v>8745.9068516730895</v>
      </c>
      <c r="AX22" s="27">
        <v>8923.4287792295345</v>
      </c>
      <c r="AY22" s="27">
        <v>9165.4647490057705</v>
      </c>
      <c r="AZ22" s="27">
        <v>9102.934729651719</v>
      </c>
      <c r="BA22" s="27">
        <v>9390.0797106856226</v>
      </c>
      <c r="BB22" s="27">
        <v>9325.5308160482709</v>
      </c>
      <c r="BC22" s="27">
        <v>9832.4547436143894</v>
      </c>
      <c r="BD22" s="27">
        <v>9434.297108893219</v>
      </c>
      <c r="BE22" s="27">
        <v>9787.3617805033755</v>
      </c>
      <c r="BF22" s="27">
        <v>9745.8786998103769</v>
      </c>
      <c r="BG22" s="27">
        <v>10089.462410793027</v>
      </c>
      <c r="BH22" s="27">
        <v>10069.693684115098</v>
      </c>
      <c r="BI22" s="27">
        <v>10277.41016912753</v>
      </c>
      <c r="BJ22" s="27">
        <v>10575.710072171671</v>
      </c>
      <c r="BK22" s="27">
        <v>10582.186074585707</v>
      </c>
      <c r="BL22" s="27">
        <v>10308.053451329533</v>
      </c>
      <c r="BM22" s="27">
        <v>10402.776497614446</v>
      </c>
      <c r="BN22" s="27">
        <v>10799.373736473643</v>
      </c>
      <c r="BO22" s="27">
        <v>10922.796314582372</v>
      </c>
      <c r="BP22" s="27">
        <v>10826.578284270825</v>
      </c>
      <c r="BQ22" s="27">
        <v>10747.939181734318</v>
      </c>
      <c r="BR22" s="27">
        <v>11041.780720732184</v>
      </c>
      <c r="BS22" s="27">
        <v>11386.701813262671</v>
      </c>
      <c r="BT22" s="27">
        <v>10486.922114941583</v>
      </c>
      <c r="BU22" s="27">
        <v>11971.906817618063</v>
      </c>
      <c r="BV22" s="27">
        <v>12091.992331579973</v>
      </c>
      <c r="BW22" s="27">
        <v>12389.178735860381</v>
      </c>
      <c r="BX22" s="27">
        <v>12989.231244113711</v>
      </c>
      <c r="BY22" s="27">
        <v>12542.214380390224</v>
      </c>
      <c r="BZ22" s="27">
        <v>12398.602992018701</v>
      </c>
      <c r="CA22" s="27">
        <v>13204.951383477362</v>
      </c>
      <c r="CB22" s="27">
        <v>12703.545142372046</v>
      </c>
      <c r="CC22" s="27">
        <v>12815.960884298092</v>
      </c>
      <c r="CD22" s="27">
        <v>13024.377568736527</v>
      </c>
      <c r="CE22" s="27">
        <v>13140.11640459334</v>
      </c>
      <c r="CF22" s="27">
        <v>13120.145766790234</v>
      </c>
      <c r="CG22" s="27">
        <v>13175.097542818088</v>
      </c>
      <c r="CH22" s="27">
        <v>13591.239101544155</v>
      </c>
      <c r="CI22" s="28">
        <v>13225.859315532378</v>
      </c>
    </row>
    <row r="23" spans="1:97" ht="14" x14ac:dyDescent="0.2">
      <c r="A23" s="29"/>
      <c r="B23" s="20" t="s">
        <v>34</v>
      </c>
      <c r="C23" s="21" t="s">
        <v>35</v>
      </c>
      <c r="D23" s="22">
        <v>12401.889663961952</v>
      </c>
      <c r="E23" s="22">
        <v>12505.837745822282</v>
      </c>
      <c r="F23" s="22">
        <v>12581.405610215596</v>
      </c>
      <c r="G23" s="22">
        <v>12743.866980000163</v>
      </c>
      <c r="H23" s="22">
        <v>12835.292359218862</v>
      </c>
      <c r="I23" s="22">
        <v>12986.941220157831</v>
      </c>
      <c r="J23" s="22">
        <v>13131.315431436948</v>
      </c>
      <c r="K23" s="22">
        <v>13311.450989186364</v>
      </c>
      <c r="L23" s="22">
        <v>13380.503824002981</v>
      </c>
      <c r="M23" s="22">
        <v>13496.910644086556</v>
      </c>
      <c r="N23" s="22">
        <v>13600.448400883452</v>
      </c>
      <c r="O23" s="22">
        <v>13747.13713102701</v>
      </c>
      <c r="P23" s="22">
        <v>13726.531206245587</v>
      </c>
      <c r="Q23" s="22">
        <v>13859.251886276685</v>
      </c>
      <c r="R23" s="22">
        <v>13986.592232490095</v>
      </c>
      <c r="S23" s="22">
        <v>14158.624674987634</v>
      </c>
      <c r="T23" s="22">
        <v>14228.179046377956</v>
      </c>
      <c r="U23" s="22">
        <v>14385.003396175623</v>
      </c>
      <c r="V23" s="22">
        <v>14523.248741182222</v>
      </c>
      <c r="W23" s="22">
        <v>14729.568816264196</v>
      </c>
      <c r="X23" s="22">
        <v>14779.177654535468</v>
      </c>
      <c r="Y23" s="22">
        <v>14910.884936288301</v>
      </c>
      <c r="Z23" s="22">
        <v>15046.182971397118</v>
      </c>
      <c r="AA23" s="22">
        <v>15195.754437779115</v>
      </c>
      <c r="AB23" s="22">
        <v>15205.731444658355</v>
      </c>
      <c r="AC23" s="22">
        <v>15323.855024812969</v>
      </c>
      <c r="AD23" s="22">
        <v>15453.995227563446</v>
      </c>
      <c r="AE23" s="22">
        <v>15644.41830296523</v>
      </c>
      <c r="AF23" s="22">
        <v>15666.452752028574</v>
      </c>
      <c r="AG23" s="22">
        <v>15799.927338455218</v>
      </c>
      <c r="AH23" s="22">
        <v>15962.478978814834</v>
      </c>
      <c r="AI23" s="22">
        <v>16150.140930701376</v>
      </c>
      <c r="AJ23" s="22">
        <v>16166.465682576132</v>
      </c>
      <c r="AK23" s="22">
        <v>16322.596703138175</v>
      </c>
      <c r="AL23" s="22">
        <v>16465.747585689245</v>
      </c>
      <c r="AM23" s="22">
        <v>16670.190028596455</v>
      </c>
      <c r="AN23" s="22">
        <v>16689.593530187944</v>
      </c>
      <c r="AO23" s="22">
        <v>16818.508315857031</v>
      </c>
      <c r="AP23" s="22">
        <v>16975.090144047772</v>
      </c>
      <c r="AQ23" s="22">
        <v>17180.808009907254</v>
      </c>
      <c r="AR23" s="22">
        <v>17186.367686921327</v>
      </c>
      <c r="AS23" s="22">
        <v>17335.378122559243</v>
      </c>
      <c r="AT23" s="22">
        <v>17504.971278414218</v>
      </c>
      <c r="AU23" s="22">
        <v>17798.282912105202</v>
      </c>
      <c r="AV23" s="22">
        <v>17772.653562092393</v>
      </c>
      <c r="AW23" s="22">
        <v>17992.27551676564</v>
      </c>
      <c r="AX23" s="22">
        <v>18139.394508977657</v>
      </c>
      <c r="AY23" s="22">
        <v>18384.676412164314</v>
      </c>
      <c r="AZ23" s="22">
        <v>18350.56911677714</v>
      </c>
      <c r="BA23" s="22">
        <v>18499.075143398182</v>
      </c>
      <c r="BB23" s="22">
        <v>18672.652292280563</v>
      </c>
      <c r="BC23" s="22">
        <v>18972.703447544114</v>
      </c>
      <c r="BD23" s="22">
        <v>18957.811116984849</v>
      </c>
      <c r="BE23" s="22">
        <v>19225.038408085114</v>
      </c>
      <c r="BF23" s="22">
        <v>19503.434724370123</v>
      </c>
      <c r="BG23" s="22">
        <v>19762.715750559917</v>
      </c>
      <c r="BH23" s="22">
        <v>19787.092208959966</v>
      </c>
      <c r="BI23" s="22">
        <v>19945.32076340256</v>
      </c>
      <c r="BJ23" s="22">
        <v>20054.545561933355</v>
      </c>
      <c r="BK23" s="22">
        <v>20177.041465704118</v>
      </c>
      <c r="BL23" s="22">
        <v>20178.059524734956</v>
      </c>
      <c r="BM23" s="22">
        <v>20077.666079022692</v>
      </c>
      <c r="BN23" s="22">
        <v>20327.079664828816</v>
      </c>
      <c r="BO23" s="22">
        <v>20535.194731413532</v>
      </c>
      <c r="BP23" s="22">
        <v>20564.3523525907</v>
      </c>
      <c r="BQ23" s="22">
        <v>20725.468357817175</v>
      </c>
      <c r="BR23" s="22">
        <v>20845.94662401867</v>
      </c>
      <c r="BS23" s="22">
        <v>21007.232665573451</v>
      </c>
      <c r="BT23" s="22">
        <v>21033.939836109977</v>
      </c>
      <c r="BU23" s="22">
        <v>21154.666099345504</v>
      </c>
      <c r="BV23" s="22">
        <v>21277.514546349696</v>
      </c>
      <c r="BW23" s="22">
        <v>21376.879518194815</v>
      </c>
      <c r="BX23" s="22">
        <v>21413.302354406605</v>
      </c>
      <c r="BY23" s="22">
        <v>21535.002260262663</v>
      </c>
      <c r="BZ23" s="22">
        <v>21650.710671541128</v>
      </c>
      <c r="CA23" s="22">
        <v>21813.984713789603</v>
      </c>
      <c r="CB23" s="22">
        <v>21859.527092800981</v>
      </c>
      <c r="CC23" s="22">
        <v>22024.481504962896</v>
      </c>
      <c r="CD23" s="22">
        <v>22130.745445895896</v>
      </c>
      <c r="CE23" s="22">
        <v>22307.245956340226</v>
      </c>
      <c r="CF23" s="22">
        <v>22294.963194350035</v>
      </c>
      <c r="CG23" s="22">
        <v>22461.557399019541</v>
      </c>
      <c r="CH23" s="22">
        <v>22586.540572233127</v>
      </c>
      <c r="CI23" s="23">
        <v>22730.74377684034</v>
      </c>
    </row>
    <row r="24" spans="1:97" ht="14" x14ac:dyDescent="0.2">
      <c r="A24" s="31"/>
      <c r="B24" s="25" t="s">
        <v>36</v>
      </c>
      <c r="C24" s="26" t="s">
        <v>37</v>
      </c>
      <c r="D24" s="27">
        <v>8402.0467445162431</v>
      </c>
      <c r="E24" s="27">
        <v>8655.4516367483066</v>
      </c>
      <c r="F24" s="27">
        <v>8856.4295548565005</v>
      </c>
      <c r="G24" s="27">
        <v>10143.07206387895</v>
      </c>
      <c r="H24" s="27">
        <v>8999.3431174841025</v>
      </c>
      <c r="I24" s="27">
        <v>9239.7881981385108</v>
      </c>
      <c r="J24" s="27">
        <v>9514.4230996191054</v>
      </c>
      <c r="K24" s="27">
        <v>10838.445584758276</v>
      </c>
      <c r="L24" s="27">
        <v>9631.1004440862471</v>
      </c>
      <c r="M24" s="27">
        <v>9851.5070543892689</v>
      </c>
      <c r="N24" s="27">
        <v>10218.56745571421</v>
      </c>
      <c r="O24" s="27">
        <v>11544.825045810272</v>
      </c>
      <c r="P24" s="27">
        <v>10102.937293621068</v>
      </c>
      <c r="Q24" s="27">
        <v>10245.350792478841</v>
      </c>
      <c r="R24" s="27">
        <v>10523.531705765899</v>
      </c>
      <c r="S24" s="27">
        <v>11928.18020813419</v>
      </c>
      <c r="T24" s="27">
        <v>10374.736598096961</v>
      </c>
      <c r="U24" s="27">
        <v>10640.267909755197</v>
      </c>
      <c r="V24" s="27">
        <v>10829.495658352136</v>
      </c>
      <c r="W24" s="27">
        <v>12153.499833795704</v>
      </c>
      <c r="X24" s="27">
        <v>10612.297897225108</v>
      </c>
      <c r="Y24" s="27">
        <v>10917.585449927416</v>
      </c>
      <c r="Z24" s="27">
        <v>11144.774335612505</v>
      </c>
      <c r="AA24" s="27">
        <v>12679.342317234972</v>
      </c>
      <c r="AB24" s="27">
        <v>11223.77161782939</v>
      </c>
      <c r="AC24" s="27">
        <v>11601.395554793091</v>
      </c>
      <c r="AD24" s="27">
        <v>12023.357305356772</v>
      </c>
      <c r="AE24" s="27">
        <v>13719.475522020741</v>
      </c>
      <c r="AF24" s="27">
        <v>11913.934699225705</v>
      </c>
      <c r="AG24" s="27">
        <v>12224.617626975454</v>
      </c>
      <c r="AH24" s="27">
        <v>12503.465485108687</v>
      </c>
      <c r="AI24" s="27">
        <v>14264.982188690152</v>
      </c>
      <c r="AJ24" s="27">
        <v>12258.592866411422</v>
      </c>
      <c r="AK24" s="27">
        <v>12779.85476195027</v>
      </c>
      <c r="AL24" s="27">
        <v>13241.20441877031</v>
      </c>
      <c r="AM24" s="27">
        <v>15313.347952868004</v>
      </c>
      <c r="AN24" s="27">
        <v>13328.007387433534</v>
      </c>
      <c r="AO24" s="27">
        <v>13817.4073808543</v>
      </c>
      <c r="AP24" s="27">
        <v>14191.572484837614</v>
      </c>
      <c r="AQ24" s="27">
        <v>16163.012746874554</v>
      </c>
      <c r="AR24" s="27">
        <v>13599.602843441611</v>
      </c>
      <c r="AS24" s="27">
        <v>13844.779319449148</v>
      </c>
      <c r="AT24" s="27">
        <v>14336.371840716354</v>
      </c>
      <c r="AU24" s="27">
        <v>15611.245996392889</v>
      </c>
      <c r="AV24" s="27">
        <v>13178.920892391427</v>
      </c>
      <c r="AW24" s="27">
        <v>13527.314429331906</v>
      </c>
      <c r="AX24" s="27">
        <v>13825.21875694387</v>
      </c>
      <c r="AY24" s="27">
        <v>15463.545921332794</v>
      </c>
      <c r="AZ24" s="27">
        <v>13214.523837941089</v>
      </c>
      <c r="BA24" s="27">
        <v>13763.5475273134</v>
      </c>
      <c r="BB24" s="27">
        <v>14114.121897962445</v>
      </c>
      <c r="BC24" s="27">
        <v>15717.806736783064</v>
      </c>
      <c r="BD24" s="27">
        <v>13658.468062509526</v>
      </c>
      <c r="BE24" s="27">
        <v>14355.241112726675</v>
      </c>
      <c r="BF24" s="27">
        <v>14694.811008836466</v>
      </c>
      <c r="BG24" s="27">
        <v>16357.479815927329</v>
      </c>
      <c r="BH24" s="27">
        <v>14195.181547926335</v>
      </c>
      <c r="BI24" s="27">
        <v>14941.17591751389</v>
      </c>
      <c r="BJ24" s="27">
        <v>15230.07429701237</v>
      </c>
      <c r="BK24" s="27">
        <v>16735.568237547406</v>
      </c>
      <c r="BL24" s="27">
        <v>14365.936847865949</v>
      </c>
      <c r="BM24" s="27">
        <v>13079.188315816493</v>
      </c>
      <c r="BN24" s="27">
        <v>13982.755448493481</v>
      </c>
      <c r="BO24" s="27">
        <v>16136.119387824077</v>
      </c>
      <c r="BP24" s="27">
        <v>14521.193143907227</v>
      </c>
      <c r="BQ24" s="27">
        <v>14945.734822080527</v>
      </c>
      <c r="BR24" s="27">
        <v>15796.751753046987</v>
      </c>
      <c r="BS24" s="27">
        <v>17903.320280965261</v>
      </c>
      <c r="BT24" s="27">
        <v>15770.851223511208</v>
      </c>
      <c r="BU24" s="27">
        <v>16887.860918014852</v>
      </c>
      <c r="BV24" s="27">
        <v>16935.93782450728</v>
      </c>
      <c r="BW24" s="27">
        <v>18537.350033966668</v>
      </c>
      <c r="BX24" s="27">
        <v>16313.720161364956</v>
      </c>
      <c r="BY24" s="27">
        <v>17130.495398602921</v>
      </c>
      <c r="BZ24" s="27">
        <v>17115.185306349867</v>
      </c>
      <c r="CA24" s="27">
        <v>18877.599133682263</v>
      </c>
      <c r="CB24" s="27">
        <v>16246.072322594178</v>
      </c>
      <c r="CC24" s="27">
        <v>17065.704859205583</v>
      </c>
      <c r="CD24" s="27">
        <v>17030.614373009346</v>
      </c>
      <c r="CE24" s="27">
        <v>18803.608445190901</v>
      </c>
      <c r="CF24" s="27">
        <v>16435.695054857679</v>
      </c>
      <c r="CG24" s="27">
        <v>17331.799327858989</v>
      </c>
      <c r="CH24" s="27">
        <v>17229.348736399963</v>
      </c>
      <c r="CI24" s="28">
        <v>19076.802747224268</v>
      </c>
    </row>
    <row r="25" spans="1:97" ht="28" x14ac:dyDescent="0.2">
      <c r="A25" s="32"/>
      <c r="B25" s="20" t="s">
        <v>38</v>
      </c>
      <c r="C25" s="21" t="s">
        <v>39</v>
      </c>
      <c r="D25" s="22">
        <v>17323.156557978371</v>
      </c>
      <c r="E25" s="22">
        <v>17123.790275284682</v>
      </c>
      <c r="F25" s="22">
        <v>17441.522337017483</v>
      </c>
      <c r="G25" s="22">
        <v>19293.530829719468</v>
      </c>
      <c r="H25" s="22">
        <v>17962.103906711076</v>
      </c>
      <c r="I25" s="22">
        <v>17682.048663530149</v>
      </c>
      <c r="J25" s="22">
        <v>18320.526577318211</v>
      </c>
      <c r="K25" s="22">
        <v>20504.320852440571</v>
      </c>
      <c r="L25" s="22">
        <v>18578.296103859495</v>
      </c>
      <c r="M25" s="22">
        <v>18342.23442619179</v>
      </c>
      <c r="N25" s="22">
        <v>19172.74177217183</v>
      </c>
      <c r="O25" s="22">
        <v>21420.727697776892</v>
      </c>
      <c r="P25" s="22">
        <v>19293.585191257844</v>
      </c>
      <c r="Q25" s="22">
        <v>19092.906052589751</v>
      </c>
      <c r="R25" s="22">
        <v>19329.087970808981</v>
      </c>
      <c r="S25" s="22">
        <v>21451.420785343416</v>
      </c>
      <c r="T25" s="22">
        <v>19581.379843281273</v>
      </c>
      <c r="U25" s="22">
        <v>19586.8377835682</v>
      </c>
      <c r="V25" s="22">
        <v>20084.098464994484</v>
      </c>
      <c r="W25" s="22">
        <v>22328.683908156043</v>
      </c>
      <c r="X25" s="22">
        <v>20565.504850524827</v>
      </c>
      <c r="Y25" s="22">
        <v>20464.510376479066</v>
      </c>
      <c r="Z25" s="22">
        <v>20788.829731544931</v>
      </c>
      <c r="AA25" s="22">
        <v>23543.155041451188</v>
      </c>
      <c r="AB25" s="22">
        <v>21746.413363007301</v>
      </c>
      <c r="AC25" s="22">
        <v>21509.709383104659</v>
      </c>
      <c r="AD25" s="22">
        <v>21968.946513277366</v>
      </c>
      <c r="AE25" s="22">
        <v>25039.930740610675</v>
      </c>
      <c r="AF25" s="22">
        <v>22844.96058530781</v>
      </c>
      <c r="AG25" s="22">
        <v>22690.910948321922</v>
      </c>
      <c r="AH25" s="22">
        <v>23288.93822377389</v>
      </c>
      <c r="AI25" s="22">
        <v>26458.190242596378</v>
      </c>
      <c r="AJ25" s="22">
        <v>23741.82276367104</v>
      </c>
      <c r="AK25" s="22">
        <v>24107.804611236184</v>
      </c>
      <c r="AL25" s="22">
        <v>24673.470911237106</v>
      </c>
      <c r="AM25" s="22">
        <v>28007.901713855666</v>
      </c>
      <c r="AN25" s="22">
        <v>25318.738783119046</v>
      </c>
      <c r="AO25" s="22">
        <v>25166.904830732594</v>
      </c>
      <c r="AP25" s="22">
        <v>26129.320947449036</v>
      </c>
      <c r="AQ25" s="22">
        <v>29793.035438699335</v>
      </c>
      <c r="AR25" s="22">
        <v>26821.054673056398</v>
      </c>
      <c r="AS25" s="22">
        <v>27080.490556834724</v>
      </c>
      <c r="AT25" s="22">
        <v>28737.271486066093</v>
      </c>
      <c r="AU25" s="22">
        <v>29438.183284042789</v>
      </c>
      <c r="AV25" s="22">
        <v>27318.999940253143</v>
      </c>
      <c r="AW25" s="22">
        <v>28326.970647761984</v>
      </c>
      <c r="AX25" s="22">
        <v>28963.344552953793</v>
      </c>
      <c r="AY25" s="22">
        <v>31588.684859031073</v>
      </c>
      <c r="AZ25" s="22">
        <v>28195.338726770653</v>
      </c>
      <c r="BA25" s="22">
        <v>29338.960416271089</v>
      </c>
      <c r="BB25" s="22">
        <v>29880.420381050742</v>
      </c>
      <c r="BC25" s="22">
        <v>32807.280475907515</v>
      </c>
      <c r="BD25" s="22">
        <v>29321.27252886723</v>
      </c>
      <c r="BE25" s="22">
        <v>30904.02321352806</v>
      </c>
      <c r="BF25" s="22">
        <v>31330.750992846552</v>
      </c>
      <c r="BG25" s="22">
        <v>34359.953264758173</v>
      </c>
      <c r="BH25" s="22">
        <v>30720.949671801663</v>
      </c>
      <c r="BI25" s="22">
        <v>32627.213955955485</v>
      </c>
      <c r="BJ25" s="22">
        <v>33015.830820053772</v>
      </c>
      <c r="BK25" s="22">
        <v>35969.005552189083</v>
      </c>
      <c r="BL25" s="22">
        <v>31068.918423579584</v>
      </c>
      <c r="BM25" s="22">
        <v>31821.612594496171</v>
      </c>
      <c r="BN25" s="22">
        <v>32417.007241351639</v>
      </c>
      <c r="BO25" s="22">
        <v>37434.461740572602</v>
      </c>
      <c r="BP25" s="22">
        <v>33193.705469413915</v>
      </c>
      <c r="BQ25" s="22">
        <v>35088.19610057128</v>
      </c>
      <c r="BR25" s="22">
        <v>35833.305513445506</v>
      </c>
      <c r="BS25" s="22">
        <v>39858.792916569313</v>
      </c>
      <c r="BT25" s="22">
        <v>34337.153131832441</v>
      </c>
      <c r="BU25" s="22">
        <v>37060.605346482778</v>
      </c>
      <c r="BV25" s="22">
        <v>35441.40497748083</v>
      </c>
      <c r="BW25" s="22">
        <v>38749.836544203943</v>
      </c>
      <c r="BX25" s="22">
        <v>34488.204827493231</v>
      </c>
      <c r="BY25" s="22">
        <v>38875.120761626902</v>
      </c>
      <c r="BZ25" s="22">
        <v>38036.564920647535</v>
      </c>
      <c r="CA25" s="22">
        <v>41372.109490232324</v>
      </c>
      <c r="CB25" s="22">
        <v>36481.815062225782</v>
      </c>
      <c r="CC25" s="22">
        <v>40564.42237060047</v>
      </c>
      <c r="CD25" s="22">
        <v>38604.022048207669</v>
      </c>
      <c r="CE25" s="22">
        <v>43329.740518966093</v>
      </c>
      <c r="CF25" s="22">
        <v>37800.811576857297</v>
      </c>
      <c r="CG25" s="22">
        <v>41235.697399563433</v>
      </c>
      <c r="CH25" s="22">
        <v>41662.979826928429</v>
      </c>
      <c r="CI25" s="23">
        <v>45416.906853084045</v>
      </c>
    </row>
    <row r="26" spans="1:97" ht="42" x14ac:dyDescent="0.2">
      <c r="A26" s="24"/>
      <c r="B26" s="25" t="s">
        <v>40</v>
      </c>
      <c r="C26" s="26" t="s">
        <v>41</v>
      </c>
      <c r="D26" s="27">
        <v>3062.3467407253643</v>
      </c>
      <c r="E26" s="27">
        <v>3086.6501893570576</v>
      </c>
      <c r="F26" s="27">
        <v>3230.2450820780473</v>
      </c>
      <c r="G26" s="27">
        <v>3396.7579878395304</v>
      </c>
      <c r="H26" s="27">
        <v>3227.5616203993973</v>
      </c>
      <c r="I26" s="27">
        <v>3289.4724687804869</v>
      </c>
      <c r="J26" s="27">
        <v>3396.627877768532</v>
      </c>
      <c r="K26" s="27">
        <v>3510.3380330515838</v>
      </c>
      <c r="L26" s="27">
        <v>3400.49153890659</v>
      </c>
      <c r="M26" s="27">
        <v>3434.6800483682732</v>
      </c>
      <c r="N26" s="27">
        <v>3535.0163970567864</v>
      </c>
      <c r="O26" s="27">
        <v>3764.8120156683499</v>
      </c>
      <c r="P26" s="27">
        <v>3531.8088755755684</v>
      </c>
      <c r="Q26" s="27">
        <v>3539.698943913816</v>
      </c>
      <c r="R26" s="27">
        <v>3662.2170863115953</v>
      </c>
      <c r="S26" s="27">
        <v>3824.2750941990207</v>
      </c>
      <c r="T26" s="27">
        <v>3580.658841377096</v>
      </c>
      <c r="U26" s="27">
        <v>3626.0584984358161</v>
      </c>
      <c r="V26" s="27">
        <v>3733.4749745114868</v>
      </c>
      <c r="W26" s="27">
        <v>3956.8076856756006</v>
      </c>
      <c r="X26" s="27">
        <v>3712.3651787970807</v>
      </c>
      <c r="Y26" s="27">
        <v>3688.6975294452909</v>
      </c>
      <c r="Z26" s="27">
        <v>3833.5657290480331</v>
      </c>
      <c r="AA26" s="27">
        <v>4024.3715627095944</v>
      </c>
      <c r="AB26" s="27">
        <v>3852.8436608265733</v>
      </c>
      <c r="AC26" s="27">
        <v>3939.0593583186178</v>
      </c>
      <c r="AD26" s="27">
        <v>4150.9522092779825</v>
      </c>
      <c r="AE26" s="27">
        <v>4245.1447715768263</v>
      </c>
      <c r="AF26" s="27">
        <v>3989.2291975476019</v>
      </c>
      <c r="AG26" s="27">
        <v>3998.5042303725882</v>
      </c>
      <c r="AH26" s="27">
        <v>4348.4977314087037</v>
      </c>
      <c r="AI26" s="27">
        <v>4340.7688406711059</v>
      </c>
      <c r="AJ26" s="27">
        <v>4190.1179582495843</v>
      </c>
      <c r="AK26" s="27">
        <v>4246.1098669712228</v>
      </c>
      <c r="AL26" s="27">
        <v>4531.9183081238225</v>
      </c>
      <c r="AM26" s="27">
        <v>4749.8538666553695</v>
      </c>
      <c r="AN26" s="27">
        <v>4442.555025380977</v>
      </c>
      <c r="AO26" s="27">
        <v>4293.2336250987692</v>
      </c>
      <c r="AP26" s="27">
        <v>4651.0877178664705</v>
      </c>
      <c r="AQ26" s="27">
        <v>4823.1236316537825</v>
      </c>
      <c r="AR26" s="27">
        <v>4539.4797132571475</v>
      </c>
      <c r="AS26" s="27">
        <v>4496.607855988178</v>
      </c>
      <c r="AT26" s="27">
        <v>4848.5142161696294</v>
      </c>
      <c r="AU26" s="27">
        <v>5097.3982145850423</v>
      </c>
      <c r="AV26" s="27">
        <v>4811.6791729125462</v>
      </c>
      <c r="AW26" s="27">
        <v>4805.5431840860911</v>
      </c>
      <c r="AX26" s="27">
        <v>5107.5146171879396</v>
      </c>
      <c r="AY26" s="27">
        <v>5309.2630258134232</v>
      </c>
      <c r="AZ26" s="27">
        <v>4954.6159439268504</v>
      </c>
      <c r="BA26" s="27">
        <v>4894.9117366921937</v>
      </c>
      <c r="BB26" s="27">
        <v>5191.2951520892275</v>
      </c>
      <c r="BC26" s="27">
        <v>5415.1771672917275</v>
      </c>
      <c r="BD26" s="27">
        <v>4833.6229770353521</v>
      </c>
      <c r="BE26" s="27">
        <v>5006.4008178821177</v>
      </c>
      <c r="BF26" s="27">
        <v>5309.3039181584427</v>
      </c>
      <c r="BG26" s="27">
        <v>5775.6722869240884</v>
      </c>
      <c r="BH26" s="27">
        <v>5431.1566555040454</v>
      </c>
      <c r="BI26" s="27">
        <v>5766.8764341085007</v>
      </c>
      <c r="BJ26" s="27">
        <v>6013.0322441599956</v>
      </c>
      <c r="BK26" s="27">
        <v>6441.9346662274602</v>
      </c>
      <c r="BL26" s="27">
        <v>5635.9389752044981</v>
      </c>
      <c r="BM26" s="27">
        <v>3809.3983921313406</v>
      </c>
      <c r="BN26" s="27">
        <v>5345.5628759528145</v>
      </c>
      <c r="BO26" s="27">
        <v>6074.0997567113454</v>
      </c>
      <c r="BP26" s="27">
        <v>6168.9946518704428</v>
      </c>
      <c r="BQ26" s="27">
        <v>6736.1924223176411</v>
      </c>
      <c r="BR26" s="27">
        <v>7153.1327212399574</v>
      </c>
      <c r="BS26" s="27">
        <v>7989.6802045719596</v>
      </c>
      <c r="BT26" s="27">
        <v>8042.7310748017653</v>
      </c>
      <c r="BU26" s="27">
        <v>8340.2723923032827</v>
      </c>
      <c r="BV26" s="27">
        <v>8980.3246169337872</v>
      </c>
      <c r="BW26" s="27">
        <v>10568.671915961164</v>
      </c>
      <c r="BX26" s="27">
        <v>9260.1954712144634</v>
      </c>
      <c r="BY26" s="27">
        <v>9452.4621529035685</v>
      </c>
      <c r="BZ26" s="27">
        <v>9928.354012460366</v>
      </c>
      <c r="CA26" s="27">
        <v>11019.988363421602</v>
      </c>
      <c r="CB26" s="27">
        <v>9831.6449905847967</v>
      </c>
      <c r="CC26" s="27">
        <v>10481.124999163936</v>
      </c>
      <c r="CD26" s="27">
        <v>11064.665424759451</v>
      </c>
      <c r="CE26" s="27">
        <v>11532.564585491818</v>
      </c>
      <c r="CF26" s="27">
        <v>11363.528456917365</v>
      </c>
      <c r="CG26" s="27">
        <v>11290.009921064373</v>
      </c>
      <c r="CH26" s="27">
        <v>11638.339992922121</v>
      </c>
      <c r="CI26" s="28">
        <v>12863.458987914399</v>
      </c>
    </row>
    <row r="27" spans="1:97" s="38" customFormat="1" ht="14" x14ac:dyDescent="0.2">
      <c r="A27" s="32" t="s">
        <v>42</v>
      </c>
      <c r="B27" s="33"/>
      <c r="C27" s="34" t="s">
        <v>43</v>
      </c>
      <c r="D27" s="35">
        <v>111789.93534078899</v>
      </c>
      <c r="E27" s="35">
        <v>115152.44485683007</v>
      </c>
      <c r="F27" s="35">
        <v>118810.65568454152</v>
      </c>
      <c r="G27" s="35">
        <v>126941.96411783944</v>
      </c>
      <c r="H27" s="35">
        <v>118008.18343311739</v>
      </c>
      <c r="I27" s="35">
        <v>120449.40099629491</v>
      </c>
      <c r="J27" s="35">
        <v>127605.65013289843</v>
      </c>
      <c r="K27" s="35">
        <v>135926.76543768926</v>
      </c>
      <c r="L27" s="35">
        <v>125486.90604311691</v>
      </c>
      <c r="M27" s="35">
        <v>128480.24001918138</v>
      </c>
      <c r="N27" s="35">
        <v>135324.69528264445</v>
      </c>
      <c r="O27" s="35">
        <v>144364.15865505731</v>
      </c>
      <c r="P27" s="35">
        <v>131462.22784984283</v>
      </c>
      <c r="Q27" s="35">
        <v>134338.87958630655</v>
      </c>
      <c r="R27" s="35">
        <v>139797.04491758492</v>
      </c>
      <c r="S27" s="35">
        <v>144564.84764626564</v>
      </c>
      <c r="T27" s="35">
        <v>131692.98673353164</v>
      </c>
      <c r="U27" s="35">
        <v>135619.68171303411</v>
      </c>
      <c r="V27" s="35">
        <v>141259.08761924063</v>
      </c>
      <c r="W27" s="35">
        <v>149381.2439341936</v>
      </c>
      <c r="X27" s="35">
        <v>136962.70178818254</v>
      </c>
      <c r="Y27" s="35">
        <v>141727.64185812659</v>
      </c>
      <c r="Z27" s="35">
        <v>146460.78448995162</v>
      </c>
      <c r="AA27" s="35">
        <v>156981.87186373924</v>
      </c>
      <c r="AB27" s="35">
        <v>145905.13998674476</v>
      </c>
      <c r="AC27" s="35">
        <v>150842.53376317307</v>
      </c>
      <c r="AD27" s="35">
        <v>157551.36889810298</v>
      </c>
      <c r="AE27" s="35">
        <v>166352.95735197913</v>
      </c>
      <c r="AF27" s="35">
        <v>154648.87458545936</v>
      </c>
      <c r="AG27" s="35">
        <v>158182.84367910813</v>
      </c>
      <c r="AH27" s="35">
        <v>161013.72755265731</v>
      </c>
      <c r="AI27" s="35">
        <v>170730.55418277517</v>
      </c>
      <c r="AJ27" s="35">
        <v>158395.23288110041</v>
      </c>
      <c r="AK27" s="35">
        <v>166948.61867843798</v>
      </c>
      <c r="AL27" s="35">
        <v>171561.32499446921</v>
      </c>
      <c r="AM27" s="35">
        <v>181920.82344599246</v>
      </c>
      <c r="AN27" s="35">
        <v>168936.10728489119</v>
      </c>
      <c r="AO27" s="35">
        <v>172331.83175237948</v>
      </c>
      <c r="AP27" s="35">
        <v>178821.90085189627</v>
      </c>
      <c r="AQ27" s="35">
        <v>188641.16011083307</v>
      </c>
      <c r="AR27" s="35">
        <v>173726.18035462621</v>
      </c>
      <c r="AS27" s="35">
        <v>178673.60272578985</v>
      </c>
      <c r="AT27" s="35">
        <v>185451.82400443876</v>
      </c>
      <c r="AU27" s="35">
        <v>192691.39291514514</v>
      </c>
      <c r="AV27" s="35">
        <v>178014.88341035772</v>
      </c>
      <c r="AW27" s="35">
        <v>182852.11480972642</v>
      </c>
      <c r="AX27" s="35">
        <v>188000.31561158242</v>
      </c>
      <c r="AY27" s="35">
        <v>197666.68616833337</v>
      </c>
      <c r="AZ27" s="35">
        <v>180127.5796113711</v>
      </c>
      <c r="BA27" s="35">
        <v>185272.23297779833</v>
      </c>
      <c r="BB27" s="35">
        <v>191235.84903088666</v>
      </c>
      <c r="BC27" s="35">
        <v>200239.33837994401</v>
      </c>
      <c r="BD27" s="35">
        <v>182983.71861150095</v>
      </c>
      <c r="BE27" s="35">
        <v>190157.25401004148</v>
      </c>
      <c r="BF27" s="35">
        <v>196700.65284249283</v>
      </c>
      <c r="BG27" s="35">
        <v>206066.37453596474</v>
      </c>
      <c r="BH27" s="35">
        <v>189395.25460970638</v>
      </c>
      <c r="BI27" s="35">
        <v>195906.44208520031</v>
      </c>
      <c r="BJ27" s="35">
        <v>202482.30247904031</v>
      </c>
      <c r="BK27" s="35">
        <v>211930.00082605303</v>
      </c>
      <c r="BL27" s="35">
        <v>189639.80521175679</v>
      </c>
      <c r="BM27" s="35">
        <v>163258.88412668792</v>
      </c>
      <c r="BN27" s="35">
        <v>183882.65845005508</v>
      </c>
      <c r="BO27" s="35">
        <v>204587.65221150022</v>
      </c>
      <c r="BP27" s="35">
        <v>192289.73349723875</v>
      </c>
      <c r="BQ27" s="35">
        <v>192325.49960067426</v>
      </c>
      <c r="BR27" s="35">
        <v>207382.41530881007</v>
      </c>
      <c r="BS27" s="35">
        <v>225751.35159327698</v>
      </c>
      <c r="BT27" s="35">
        <v>206170.42323227332</v>
      </c>
      <c r="BU27" s="35">
        <v>214522.88156190276</v>
      </c>
      <c r="BV27" s="35">
        <v>220414.00644732057</v>
      </c>
      <c r="BW27" s="35">
        <v>229104.68875850341</v>
      </c>
      <c r="BX27" s="35">
        <v>211695.28378860443</v>
      </c>
      <c r="BY27" s="35">
        <v>215981.04526418803</v>
      </c>
      <c r="BZ27" s="35">
        <v>220969.14201407135</v>
      </c>
      <c r="CA27" s="35">
        <v>232186.52893313617</v>
      </c>
      <c r="CB27" s="35">
        <v>212938.45396595902</v>
      </c>
      <c r="CC27" s="35">
        <v>219935.48606358437</v>
      </c>
      <c r="CD27" s="35">
        <v>224560.35836268013</v>
      </c>
      <c r="CE27" s="35">
        <v>237495.70160777651</v>
      </c>
      <c r="CF27" s="35">
        <v>218543.4129264676</v>
      </c>
      <c r="CG27" s="35">
        <v>224497.67472176498</v>
      </c>
      <c r="CH27" s="35">
        <v>232840.96802218547</v>
      </c>
      <c r="CI27" s="36">
        <v>242850.37527135859</v>
      </c>
      <c r="CJ27" s="37"/>
      <c r="CK27" s="37"/>
      <c r="CL27" s="37"/>
      <c r="CM27" s="37"/>
      <c r="CN27" s="37"/>
      <c r="CO27" s="37"/>
      <c r="CP27" s="37"/>
      <c r="CQ27" s="37"/>
      <c r="CR27" s="37"/>
      <c r="CS27" s="37"/>
    </row>
    <row r="28" spans="1:97" ht="14" x14ac:dyDescent="0.2">
      <c r="A28" s="24" t="s">
        <v>44</v>
      </c>
      <c r="B28" s="39"/>
      <c r="C28" s="26" t="s">
        <v>45</v>
      </c>
      <c r="D28" s="27">
        <v>9461.175883952923</v>
      </c>
      <c r="E28" s="27">
        <v>10489.426738629292</v>
      </c>
      <c r="F28" s="27">
        <v>10524.587275776266</v>
      </c>
      <c r="G28" s="27">
        <v>12049.810101641518</v>
      </c>
      <c r="H28" s="27">
        <v>10898.715951542015</v>
      </c>
      <c r="I28" s="27">
        <v>11818.068780939744</v>
      </c>
      <c r="J28" s="27">
        <v>11590.958415519779</v>
      </c>
      <c r="K28" s="27">
        <v>13319.256851998456</v>
      </c>
      <c r="L28" s="27">
        <v>12039.845388666461</v>
      </c>
      <c r="M28" s="27">
        <v>12851.972552085444</v>
      </c>
      <c r="N28" s="27">
        <v>13302.309235466968</v>
      </c>
      <c r="O28" s="27">
        <v>14618.872823781125</v>
      </c>
      <c r="P28" s="27">
        <v>13141.884600418374</v>
      </c>
      <c r="Q28" s="27">
        <v>13740.32163631344</v>
      </c>
      <c r="R28" s="27">
        <v>13766.813058701902</v>
      </c>
      <c r="S28" s="27">
        <v>14851.980704566278</v>
      </c>
      <c r="T28" s="27">
        <v>13107.435563823376</v>
      </c>
      <c r="U28" s="27">
        <v>13478.291947739684</v>
      </c>
      <c r="V28" s="27">
        <v>13149.921122938193</v>
      </c>
      <c r="W28" s="27">
        <v>14879.351365498746</v>
      </c>
      <c r="X28" s="27">
        <v>13457.874907082263</v>
      </c>
      <c r="Y28" s="27">
        <v>14277.473619555241</v>
      </c>
      <c r="Z28" s="27">
        <v>14196.064026278171</v>
      </c>
      <c r="AA28" s="27">
        <v>16074.587447084325</v>
      </c>
      <c r="AB28" s="27">
        <v>14757.135263236589</v>
      </c>
      <c r="AC28" s="27">
        <v>15763.246352181923</v>
      </c>
      <c r="AD28" s="27">
        <v>15818.037021629736</v>
      </c>
      <c r="AE28" s="27">
        <v>17662.581362951747</v>
      </c>
      <c r="AF28" s="27">
        <v>15874.963477201911</v>
      </c>
      <c r="AG28" s="27">
        <v>16496.006919073527</v>
      </c>
      <c r="AH28" s="27">
        <v>16251.425826489238</v>
      </c>
      <c r="AI28" s="27">
        <v>18250.603777235316</v>
      </c>
      <c r="AJ28" s="27">
        <v>16181.033842932724</v>
      </c>
      <c r="AK28" s="27">
        <v>17093.400278690049</v>
      </c>
      <c r="AL28" s="27">
        <v>16774.013628260229</v>
      </c>
      <c r="AM28" s="27">
        <v>19046.552250116998</v>
      </c>
      <c r="AN28" s="27">
        <v>17153.628547213437</v>
      </c>
      <c r="AO28" s="27">
        <v>18044.410628719474</v>
      </c>
      <c r="AP28" s="27">
        <v>17784.417658593324</v>
      </c>
      <c r="AQ28" s="27">
        <v>19916.543165473766</v>
      </c>
      <c r="AR28" s="27">
        <v>17637.047241537653</v>
      </c>
      <c r="AS28" s="27">
        <v>18187.960084883973</v>
      </c>
      <c r="AT28" s="27">
        <v>18181.900562318322</v>
      </c>
      <c r="AU28" s="27">
        <v>20142.092111260048</v>
      </c>
      <c r="AV28" s="27">
        <v>17892.884440912418</v>
      </c>
      <c r="AW28" s="27">
        <v>18186.891702242858</v>
      </c>
      <c r="AX28" s="27">
        <v>18805.260540894924</v>
      </c>
      <c r="AY28" s="27">
        <v>20069.96331594979</v>
      </c>
      <c r="AZ28" s="27">
        <v>17867.661663798965</v>
      </c>
      <c r="BA28" s="27">
        <v>18309.314241378892</v>
      </c>
      <c r="BB28" s="27">
        <v>19059.823656246928</v>
      </c>
      <c r="BC28" s="27">
        <v>20536.200438575215</v>
      </c>
      <c r="BD28" s="27">
        <v>18283.141330735776</v>
      </c>
      <c r="BE28" s="27">
        <v>19028.382512250719</v>
      </c>
      <c r="BF28" s="27">
        <v>19656.675879912014</v>
      </c>
      <c r="BG28" s="27">
        <v>21119.800277101502</v>
      </c>
      <c r="BH28" s="27">
        <v>18867.205805436068</v>
      </c>
      <c r="BI28" s="27">
        <v>19710.929582722623</v>
      </c>
      <c r="BJ28" s="27">
        <v>20636.81120618428</v>
      </c>
      <c r="BK28" s="27">
        <v>22274.053405657032</v>
      </c>
      <c r="BL28" s="27">
        <v>19339.304242086251</v>
      </c>
      <c r="BM28" s="27">
        <v>16331.817146740153</v>
      </c>
      <c r="BN28" s="27">
        <v>18971.358660093261</v>
      </c>
      <c r="BO28" s="27">
        <v>21847.51995108034</v>
      </c>
      <c r="BP28" s="27">
        <v>19816.984897925169</v>
      </c>
      <c r="BQ28" s="27">
        <v>20359.036750399064</v>
      </c>
      <c r="BR28" s="27">
        <v>22551.371658996177</v>
      </c>
      <c r="BS28" s="27">
        <v>25912.606692679594</v>
      </c>
      <c r="BT28" s="27">
        <v>23203.516651518883</v>
      </c>
      <c r="BU28" s="27">
        <v>24569.511858006215</v>
      </c>
      <c r="BV28" s="27">
        <v>26617.004756916922</v>
      </c>
      <c r="BW28" s="27">
        <v>28469.966733557976</v>
      </c>
      <c r="BX28" s="27">
        <v>24117.598649947016</v>
      </c>
      <c r="BY28" s="27">
        <v>24044.63372002032</v>
      </c>
      <c r="BZ28" s="27">
        <v>24890.795699099064</v>
      </c>
      <c r="CA28" s="27">
        <v>27220.9719309336</v>
      </c>
      <c r="CB28" s="27">
        <v>23595.20490067697</v>
      </c>
      <c r="CC28" s="27">
        <v>23899.488548784469</v>
      </c>
      <c r="CD28" s="27">
        <v>25243.376642770701</v>
      </c>
      <c r="CE28" s="27">
        <v>28036.929907767855</v>
      </c>
      <c r="CF28" s="27">
        <v>24110.160567572228</v>
      </c>
      <c r="CG28" s="27">
        <v>24491.471582678772</v>
      </c>
      <c r="CH28" s="27">
        <v>25934.277289873393</v>
      </c>
      <c r="CI28" s="28">
        <v>28731.272113954699</v>
      </c>
      <c r="CJ28" s="37"/>
      <c r="CK28" s="37"/>
      <c r="CL28" s="37"/>
      <c r="CM28" s="37"/>
      <c r="CN28" s="37"/>
      <c r="CO28" s="37"/>
      <c r="CP28" s="37"/>
      <c r="CQ28" s="37"/>
      <c r="CR28" s="37"/>
      <c r="CS28" s="37"/>
    </row>
    <row r="29" spans="1:97" ht="14" x14ac:dyDescent="0.2">
      <c r="A29" s="40" t="s">
        <v>42</v>
      </c>
      <c r="B29" s="41"/>
      <c r="C29" s="42" t="s">
        <v>46</v>
      </c>
      <c r="D29" s="43">
        <v>121117.73043670836</v>
      </c>
      <c r="E29" s="43">
        <v>125559.33523959867</v>
      </c>
      <c r="F29" s="43">
        <v>129223.31345343766</v>
      </c>
      <c r="G29" s="43">
        <v>138952.62087025528</v>
      </c>
      <c r="H29" s="43">
        <v>128839.68114415972</v>
      </c>
      <c r="I29" s="43">
        <v>132242.90768508735</v>
      </c>
      <c r="J29" s="43">
        <v>139114.40832028733</v>
      </c>
      <c r="K29" s="43">
        <v>149238.00285046562</v>
      </c>
      <c r="L29" s="43">
        <v>137488.51677684105</v>
      </c>
      <c r="M29" s="43">
        <v>141316.49758886755</v>
      </c>
      <c r="N29" s="43">
        <v>148649.96660040549</v>
      </c>
      <c r="O29" s="43">
        <v>159002.01903388588</v>
      </c>
      <c r="P29" s="43">
        <v>144602.69329964361</v>
      </c>
      <c r="Q29" s="43">
        <v>148078.93371272669</v>
      </c>
      <c r="R29" s="43">
        <v>153584.53401167839</v>
      </c>
      <c r="S29" s="43">
        <v>159446.83897595131</v>
      </c>
      <c r="T29" s="43">
        <v>144812.49303091533</v>
      </c>
      <c r="U29" s="43">
        <v>149108.60209883322</v>
      </c>
      <c r="V29" s="43">
        <v>154402.16390151772</v>
      </c>
      <c r="W29" s="43">
        <v>164292.74096873379</v>
      </c>
      <c r="X29" s="43">
        <v>150431.72486548449</v>
      </c>
      <c r="Y29" s="43">
        <v>156004.20299584756</v>
      </c>
      <c r="Z29" s="43">
        <v>160651.52145567001</v>
      </c>
      <c r="AA29" s="43">
        <v>173063.550682998</v>
      </c>
      <c r="AB29" s="43">
        <v>160659.87523842824</v>
      </c>
      <c r="AC29" s="43">
        <v>166585.3291953743</v>
      </c>
      <c r="AD29" s="43">
        <v>173372.35528380543</v>
      </c>
      <c r="AE29" s="43">
        <v>184010.44028239194</v>
      </c>
      <c r="AF29" s="43">
        <v>170516.60939566811</v>
      </c>
      <c r="AG29" s="43">
        <v>174658.11584143451</v>
      </c>
      <c r="AH29" s="43">
        <v>177268.44995332355</v>
      </c>
      <c r="AI29" s="43">
        <v>188971.82480957385</v>
      </c>
      <c r="AJ29" s="43">
        <v>174578.04238681134</v>
      </c>
      <c r="AK29" s="43">
        <v>184043.02456696131</v>
      </c>
      <c r="AL29" s="43">
        <v>188345.14461420866</v>
      </c>
      <c r="AM29" s="43">
        <v>200972.78843201874</v>
      </c>
      <c r="AN29" s="43">
        <v>186100.21812101797</v>
      </c>
      <c r="AO29" s="43">
        <v>190347.09009192581</v>
      </c>
      <c r="AP29" s="43">
        <v>196605.8725837215</v>
      </c>
      <c r="AQ29" s="43">
        <v>208535.81920333469</v>
      </c>
      <c r="AR29" s="43">
        <v>191363.27537481778</v>
      </c>
      <c r="AS29" s="43">
        <v>196861.40095864589</v>
      </c>
      <c r="AT29" s="43">
        <v>203635.77081291782</v>
      </c>
      <c r="AU29" s="43">
        <v>212831.55285361854</v>
      </c>
      <c r="AV29" s="43">
        <v>195907.74050669238</v>
      </c>
      <c r="AW29" s="43">
        <v>201038.9937938138</v>
      </c>
      <c r="AX29" s="43">
        <v>206805.58283950313</v>
      </c>
      <c r="AY29" s="43">
        <v>217736.68285999072</v>
      </c>
      <c r="AZ29" s="43">
        <v>198002.90169194018</v>
      </c>
      <c r="BA29" s="43">
        <v>203591.84236232319</v>
      </c>
      <c r="BB29" s="43">
        <v>210300.68285233571</v>
      </c>
      <c r="BC29" s="43">
        <v>220760.57309340095</v>
      </c>
      <c r="BD29" s="43">
        <v>201268.44821060167</v>
      </c>
      <c r="BE29" s="43">
        <v>209187.54507868784</v>
      </c>
      <c r="BF29" s="43">
        <v>216359.03079192876</v>
      </c>
      <c r="BG29" s="43">
        <v>227192.97591878168</v>
      </c>
      <c r="BH29" s="43">
        <v>208263.58830459943</v>
      </c>
      <c r="BI29" s="43">
        <v>215620.26717555753</v>
      </c>
      <c r="BJ29" s="43">
        <v>223124.45574955601</v>
      </c>
      <c r="BK29" s="43">
        <v>234215.68877028709</v>
      </c>
      <c r="BL29" s="43">
        <v>208984.3672610599</v>
      </c>
      <c r="BM29" s="43">
        <v>179587.94992052202</v>
      </c>
      <c r="BN29" s="43">
        <v>202864.17066675689</v>
      </c>
      <c r="BO29" s="43">
        <v>226463.51215166118</v>
      </c>
      <c r="BP29" s="43">
        <v>212118.50664005245</v>
      </c>
      <c r="BQ29" s="43">
        <v>212672.15151132591</v>
      </c>
      <c r="BR29" s="43">
        <v>229893.55275838362</v>
      </c>
      <c r="BS29" s="43">
        <v>251558.78909023802</v>
      </c>
      <c r="BT29" s="43">
        <v>229311.00160365616</v>
      </c>
      <c r="BU29" s="43">
        <v>239013.84522825145</v>
      </c>
      <c r="BV29" s="43">
        <v>246908.05578446505</v>
      </c>
      <c r="BW29" s="43">
        <v>257422.09738362732</v>
      </c>
      <c r="BX29" s="43">
        <v>235748.93524516877</v>
      </c>
      <c r="BY29" s="43">
        <v>239983.68203857203</v>
      </c>
      <c r="BZ29" s="43">
        <v>245804.90840946528</v>
      </c>
      <c r="CA29" s="43">
        <v>259305.47430679397</v>
      </c>
      <c r="CB29" s="43">
        <v>236500.45788595171</v>
      </c>
      <c r="CC29" s="43">
        <v>243822.83983365001</v>
      </c>
      <c r="CD29" s="43">
        <v>249751.84956036223</v>
      </c>
      <c r="CE29" s="43">
        <v>265414.85272003605</v>
      </c>
      <c r="CF29" s="43">
        <v>242632.98343363692</v>
      </c>
      <c r="CG29" s="43">
        <v>248985.66441538135</v>
      </c>
      <c r="CH29" s="43">
        <v>258737.57184249646</v>
      </c>
      <c r="CI29" s="44">
        <v>271434.71410917508</v>
      </c>
      <c r="CJ29" s="37"/>
      <c r="CK29" s="37"/>
      <c r="CL29" s="37"/>
      <c r="CM29" s="37"/>
      <c r="CN29" s="37"/>
      <c r="CO29" s="37"/>
      <c r="CP29" s="37"/>
      <c r="CQ29" s="37"/>
      <c r="CR29" s="37"/>
      <c r="CS29" s="37"/>
    </row>
    <row r="30" spans="1:97" x14ac:dyDescent="0.2">
      <c r="A30" s="16"/>
      <c r="D30" s="1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</row>
    <row r="31" spans="1:97" s="25" customFormat="1" ht="12" customHeight="1" x14ac:dyDescent="0.2">
      <c r="A31" s="46" t="s">
        <v>47</v>
      </c>
      <c r="B31" s="47"/>
      <c r="C31" s="47"/>
      <c r="D31" s="47"/>
      <c r="E31" s="47"/>
      <c r="F31" s="47"/>
      <c r="G31" s="48"/>
    </row>
    <row r="32" spans="1:97" s="25" customFormat="1" ht="12" customHeight="1" x14ac:dyDescent="0.2">
      <c r="A32" s="49" t="s">
        <v>48</v>
      </c>
      <c r="B32" s="50"/>
      <c r="C32" s="50"/>
      <c r="D32" s="50"/>
      <c r="E32" s="50"/>
      <c r="F32" s="50"/>
      <c r="G32" s="51"/>
    </row>
    <row r="33" spans="1:87" s="25" customFormat="1" ht="12" customHeight="1" x14ac:dyDescent="0.2">
      <c r="A33" s="49" t="s">
        <v>49</v>
      </c>
      <c r="B33" s="50"/>
      <c r="C33" s="50"/>
      <c r="D33" s="50"/>
      <c r="E33" s="50"/>
      <c r="F33" s="50"/>
      <c r="G33" s="51"/>
    </row>
    <row r="34" spans="1:87" s="25" customFormat="1" ht="12" customHeight="1" x14ac:dyDescent="0.2">
      <c r="A34" s="52" t="s">
        <v>50</v>
      </c>
      <c r="B34" s="53"/>
      <c r="C34" s="53"/>
      <c r="D34" s="53"/>
      <c r="E34" s="53"/>
      <c r="F34" s="53"/>
      <c r="G34" s="54"/>
    </row>
    <row r="35" spans="1:87" s="2" customFormat="1" x14ac:dyDescent="0.2"/>
    <row r="36" spans="1:87" s="2" customFormat="1" x14ac:dyDescent="0.2">
      <c r="Q36" s="25"/>
    </row>
    <row r="37" spans="1:87" x14ac:dyDescent="0.2">
      <c r="Q37" s="25"/>
    </row>
    <row r="39" spans="1:87" s="2" customFormat="1" ht="14.25" customHeight="1" x14ac:dyDescent="0.2">
      <c r="A39" s="181" t="s">
        <v>0</v>
      </c>
      <c r="B39" s="181"/>
      <c r="C39" s="181"/>
      <c r="D39" s="181"/>
      <c r="E39" s="181"/>
      <c r="F39" s="181"/>
      <c r="G39" s="181"/>
    </row>
    <row r="40" spans="1:87" s="2" customFormat="1" ht="14.25" customHeight="1" x14ac:dyDescent="0.2">
      <c r="A40" s="181"/>
      <c r="B40" s="181"/>
      <c r="C40" s="181"/>
      <c r="D40" s="181"/>
      <c r="E40" s="181"/>
      <c r="F40" s="181"/>
      <c r="G40" s="181"/>
    </row>
    <row r="41" spans="1:87" s="2" customFormat="1" ht="14" customHeight="1" x14ac:dyDescent="0.2">
      <c r="A41" s="5" t="s">
        <v>51</v>
      </c>
      <c r="B41" s="6"/>
      <c r="C41" s="6"/>
      <c r="D41" s="6"/>
      <c r="E41" s="6"/>
      <c r="F41" s="6"/>
      <c r="G41" s="7"/>
    </row>
    <row r="42" spans="1:87" s="2" customFormat="1" ht="14" customHeight="1" x14ac:dyDescent="0.2">
      <c r="A42" s="5" t="s">
        <v>52</v>
      </c>
      <c r="B42" s="6"/>
      <c r="C42" s="6"/>
      <c r="D42" s="6"/>
      <c r="E42" s="6"/>
      <c r="F42" s="6"/>
      <c r="G42" s="7"/>
    </row>
    <row r="43" spans="1:87" s="2" customFormat="1" ht="15" customHeight="1" x14ac:dyDescent="0.2">
      <c r="A43" s="9" t="s">
        <v>53</v>
      </c>
      <c r="B43" s="10"/>
      <c r="C43" s="10"/>
      <c r="D43" s="10"/>
      <c r="E43" s="10"/>
      <c r="F43" s="10"/>
      <c r="G43" s="11"/>
    </row>
    <row r="45" spans="1:87" s="13" customFormat="1" ht="37" customHeight="1" x14ac:dyDescent="0.2">
      <c r="A45" s="176" t="s">
        <v>8</v>
      </c>
      <c r="B45" s="178" t="s">
        <v>9</v>
      </c>
      <c r="C45" s="178" t="s">
        <v>10</v>
      </c>
      <c r="D45" s="178"/>
      <c r="E45" s="178"/>
      <c r="F45" s="178"/>
      <c r="G45" s="178"/>
      <c r="H45" s="178">
        <v>2006</v>
      </c>
      <c r="I45" s="178"/>
      <c r="J45" s="178"/>
      <c r="K45" s="178"/>
      <c r="L45" s="178">
        <v>2007</v>
      </c>
      <c r="M45" s="178"/>
      <c r="N45" s="178"/>
      <c r="O45" s="178"/>
      <c r="P45" s="178">
        <v>2008</v>
      </c>
      <c r="Q45" s="178"/>
      <c r="R45" s="178"/>
      <c r="S45" s="178"/>
      <c r="T45" s="178">
        <v>2009</v>
      </c>
      <c r="U45" s="178"/>
      <c r="V45" s="178"/>
      <c r="W45" s="178"/>
      <c r="X45" s="178">
        <v>2010</v>
      </c>
      <c r="Y45" s="178"/>
      <c r="Z45" s="178"/>
      <c r="AA45" s="178"/>
      <c r="AB45" s="178">
        <v>2011</v>
      </c>
      <c r="AC45" s="178"/>
      <c r="AD45" s="178"/>
      <c r="AE45" s="178"/>
      <c r="AF45" s="178">
        <v>2012</v>
      </c>
      <c r="AG45" s="178"/>
      <c r="AH45" s="178"/>
      <c r="AI45" s="178"/>
      <c r="AJ45" s="178">
        <v>2013</v>
      </c>
      <c r="AK45" s="178"/>
      <c r="AL45" s="178"/>
      <c r="AM45" s="178"/>
      <c r="AN45" s="178">
        <v>2014</v>
      </c>
      <c r="AO45" s="178"/>
      <c r="AP45" s="178"/>
      <c r="AQ45" s="178"/>
      <c r="AR45" s="178">
        <v>2015</v>
      </c>
      <c r="AS45" s="178"/>
      <c r="AT45" s="178"/>
      <c r="AU45" s="178"/>
      <c r="AV45" s="178">
        <v>2016</v>
      </c>
      <c r="AW45" s="178"/>
      <c r="AX45" s="178"/>
      <c r="AY45" s="178"/>
      <c r="AZ45" s="178">
        <v>2017</v>
      </c>
      <c r="BA45" s="178"/>
      <c r="BB45" s="178"/>
      <c r="BC45" s="178"/>
      <c r="BD45" s="178">
        <v>2018</v>
      </c>
      <c r="BE45" s="178"/>
      <c r="BF45" s="178"/>
      <c r="BG45" s="178"/>
      <c r="BH45" s="178">
        <v>2019</v>
      </c>
      <c r="BI45" s="178"/>
      <c r="BJ45" s="178"/>
      <c r="BK45" s="178"/>
      <c r="BL45" s="178">
        <v>2020</v>
      </c>
      <c r="BM45" s="178"/>
      <c r="BN45" s="178"/>
      <c r="BO45" s="178"/>
      <c r="BP45" s="178">
        <v>2021</v>
      </c>
      <c r="BQ45" s="178"/>
      <c r="BR45" s="178"/>
      <c r="BS45" s="178"/>
      <c r="BT45" s="178">
        <v>2022</v>
      </c>
      <c r="BU45" s="178"/>
      <c r="BV45" s="178"/>
      <c r="BW45" s="178"/>
      <c r="BX45" s="178">
        <v>2023</v>
      </c>
      <c r="BY45" s="178" t="s">
        <v>11</v>
      </c>
      <c r="BZ45" s="178"/>
      <c r="CA45" s="178"/>
      <c r="CB45" s="178" t="s">
        <v>12</v>
      </c>
      <c r="CC45" s="178" t="s">
        <v>11</v>
      </c>
      <c r="CD45" s="178"/>
      <c r="CE45" s="178"/>
      <c r="CF45" s="178" t="s">
        <v>13</v>
      </c>
      <c r="CG45" s="178" t="s">
        <v>11</v>
      </c>
      <c r="CH45" s="178"/>
      <c r="CI45" s="180"/>
    </row>
    <row r="46" spans="1:87" s="13" customFormat="1" ht="12" customHeight="1" x14ac:dyDescent="0.2">
      <c r="A46" s="177"/>
      <c r="B46" s="179"/>
      <c r="C46" s="179"/>
      <c r="D46" s="14"/>
      <c r="E46" s="14"/>
      <c r="F46" s="14"/>
      <c r="G46" s="14"/>
      <c r="H46" s="14" t="s">
        <v>14</v>
      </c>
      <c r="I46" s="14" t="s">
        <v>15</v>
      </c>
      <c r="J46" s="14" t="s">
        <v>16</v>
      </c>
      <c r="K46" s="14" t="s">
        <v>17</v>
      </c>
      <c r="L46" s="14" t="s">
        <v>14</v>
      </c>
      <c r="M46" s="14" t="s">
        <v>15</v>
      </c>
      <c r="N46" s="14" t="s">
        <v>16</v>
      </c>
      <c r="O46" s="14" t="s">
        <v>17</v>
      </c>
      <c r="P46" s="14" t="s">
        <v>14</v>
      </c>
      <c r="Q46" s="14" t="s">
        <v>15</v>
      </c>
      <c r="R46" s="14" t="s">
        <v>16</v>
      </c>
      <c r="S46" s="14" t="s">
        <v>17</v>
      </c>
      <c r="T46" s="14" t="s">
        <v>14</v>
      </c>
      <c r="U46" s="14" t="s">
        <v>15</v>
      </c>
      <c r="V46" s="14" t="s">
        <v>16</v>
      </c>
      <c r="W46" s="14" t="s">
        <v>17</v>
      </c>
      <c r="X46" s="14" t="s">
        <v>14</v>
      </c>
      <c r="Y46" s="14" t="s">
        <v>15</v>
      </c>
      <c r="Z46" s="14" t="s">
        <v>16</v>
      </c>
      <c r="AA46" s="14" t="s">
        <v>17</v>
      </c>
      <c r="AB46" s="14" t="s">
        <v>14</v>
      </c>
      <c r="AC46" s="14" t="s">
        <v>15</v>
      </c>
      <c r="AD46" s="14" t="s">
        <v>16</v>
      </c>
      <c r="AE46" s="14" t="s">
        <v>17</v>
      </c>
      <c r="AF46" s="14" t="s">
        <v>14</v>
      </c>
      <c r="AG46" s="14" t="s">
        <v>15</v>
      </c>
      <c r="AH46" s="14" t="s">
        <v>16</v>
      </c>
      <c r="AI46" s="14" t="s">
        <v>17</v>
      </c>
      <c r="AJ46" s="14" t="s">
        <v>14</v>
      </c>
      <c r="AK46" s="14" t="s">
        <v>15</v>
      </c>
      <c r="AL46" s="14" t="s">
        <v>16</v>
      </c>
      <c r="AM46" s="14" t="s">
        <v>17</v>
      </c>
      <c r="AN46" s="14" t="s">
        <v>14</v>
      </c>
      <c r="AO46" s="14" t="s">
        <v>15</v>
      </c>
      <c r="AP46" s="14" t="s">
        <v>16</v>
      </c>
      <c r="AQ46" s="14" t="s">
        <v>17</v>
      </c>
      <c r="AR46" s="14" t="s">
        <v>14</v>
      </c>
      <c r="AS46" s="14" t="s">
        <v>15</v>
      </c>
      <c r="AT46" s="14" t="s">
        <v>16</v>
      </c>
      <c r="AU46" s="14" t="s">
        <v>17</v>
      </c>
      <c r="AV46" s="14" t="s">
        <v>14</v>
      </c>
      <c r="AW46" s="14" t="s">
        <v>15</v>
      </c>
      <c r="AX46" s="14" t="s">
        <v>16</v>
      </c>
      <c r="AY46" s="14" t="s">
        <v>17</v>
      </c>
      <c r="AZ46" s="14" t="s">
        <v>14</v>
      </c>
      <c r="BA46" s="14" t="s">
        <v>15</v>
      </c>
      <c r="BB46" s="14" t="s">
        <v>16</v>
      </c>
      <c r="BC46" s="14" t="s">
        <v>17</v>
      </c>
      <c r="BD46" s="14" t="s">
        <v>14</v>
      </c>
      <c r="BE46" s="14" t="s">
        <v>15</v>
      </c>
      <c r="BF46" s="14" t="s">
        <v>16</v>
      </c>
      <c r="BG46" s="14" t="s">
        <v>17</v>
      </c>
      <c r="BH46" s="14" t="s">
        <v>14</v>
      </c>
      <c r="BI46" s="14" t="s">
        <v>15</v>
      </c>
      <c r="BJ46" s="14" t="s">
        <v>16</v>
      </c>
      <c r="BK46" s="14" t="s">
        <v>17</v>
      </c>
      <c r="BL46" s="14" t="s">
        <v>14</v>
      </c>
      <c r="BM46" s="14" t="s">
        <v>15</v>
      </c>
      <c r="BN46" s="14" t="s">
        <v>16</v>
      </c>
      <c r="BO46" s="14" t="s">
        <v>17</v>
      </c>
      <c r="BP46" s="14" t="s">
        <v>14</v>
      </c>
      <c r="BQ46" s="14" t="s">
        <v>15</v>
      </c>
      <c r="BR46" s="14" t="s">
        <v>16</v>
      </c>
      <c r="BS46" s="14" t="s">
        <v>17</v>
      </c>
      <c r="BT46" s="14" t="s">
        <v>14</v>
      </c>
      <c r="BU46" s="14" t="s">
        <v>15</v>
      </c>
      <c r="BV46" s="14" t="s">
        <v>16</v>
      </c>
      <c r="BW46" s="14" t="s">
        <v>17</v>
      </c>
      <c r="BX46" s="14" t="s">
        <v>14</v>
      </c>
      <c r="BY46" s="14" t="s">
        <v>15</v>
      </c>
      <c r="BZ46" s="14" t="s">
        <v>16</v>
      </c>
      <c r="CA46" s="14" t="s">
        <v>17</v>
      </c>
      <c r="CB46" s="14" t="s">
        <v>14</v>
      </c>
      <c r="CC46" s="14" t="s">
        <v>15</v>
      </c>
      <c r="CD46" s="14" t="s">
        <v>16</v>
      </c>
      <c r="CE46" s="14" t="s">
        <v>17</v>
      </c>
      <c r="CF46" s="14" t="s">
        <v>14</v>
      </c>
      <c r="CG46" s="14" t="s">
        <v>15</v>
      </c>
      <c r="CH46" s="14" t="s">
        <v>16</v>
      </c>
      <c r="CI46" s="15" t="s">
        <v>17</v>
      </c>
    </row>
    <row r="47" spans="1:87" x14ac:dyDescent="0.2">
      <c r="A47" s="16"/>
      <c r="D47" s="1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CI47" s="18"/>
    </row>
    <row r="48" spans="1:87" ht="14" x14ac:dyDescent="0.2">
      <c r="A48" s="19"/>
      <c r="B48" s="20" t="s">
        <v>18</v>
      </c>
      <c r="C48" s="21" t="s">
        <v>19</v>
      </c>
      <c r="D48" s="56"/>
      <c r="E48" s="56"/>
      <c r="F48" s="56"/>
      <c r="G48" s="56"/>
      <c r="H48" s="57">
        <v>1.5111973839948121</v>
      </c>
      <c r="I48" s="57">
        <v>-0.20703641335933298</v>
      </c>
      <c r="J48" s="57">
        <v>3.6545100189867981</v>
      </c>
      <c r="K48" s="57">
        <v>3.322898614818854</v>
      </c>
      <c r="L48" s="57">
        <v>3.9745853413752457</v>
      </c>
      <c r="M48" s="57">
        <v>3.6408622068304197</v>
      </c>
      <c r="N48" s="57">
        <v>4.898775712325957</v>
      </c>
      <c r="O48" s="57">
        <v>3.1493385577075657</v>
      </c>
      <c r="P48" s="57">
        <v>2.3356122514271078</v>
      </c>
      <c r="Q48" s="57">
        <v>0.23196598473627716</v>
      </c>
      <c r="R48" s="57">
        <v>-1.0714161316981716</v>
      </c>
      <c r="S48" s="57">
        <v>-4.2803335644911584</v>
      </c>
      <c r="T48" s="57">
        <v>-3.0845370454236871</v>
      </c>
      <c r="U48" s="57">
        <v>-2.8304797097398051</v>
      </c>
      <c r="V48" s="57">
        <v>1.8423266295925202</v>
      </c>
      <c r="W48" s="57">
        <v>2.7150847257804145</v>
      </c>
      <c r="X48" s="57">
        <v>-0.34300036975326975</v>
      </c>
      <c r="Y48" s="57">
        <v>2.4347402253436456</v>
      </c>
      <c r="Z48" s="57">
        <v>-2.5602580050298513</v>
      </c>
      <c r="AA48" s="57">
        <v>2.0574730455751933</v>
      </c>
      <c r="AB48" s="57">
        <v>6.8002400542331713</v>
      </c>
      <c r="AC48" s="57">
        <v>1.8005525032313869</v>
      </c>
      <c r="AD48" s="57">
        <v>0.58796269301397786</v>
      </c>
      <c r="AE48" s="57">
        <v>-0.91843393909792326</v>
      </c>
      <c r="AF48" s="57">
        <v>1.7039970901118409</v>
      </c>
      <c r="AG48" s="57">
        <v>5.3304103064906343</v>
      </c>
      <c r="AH48" s="57">
        <v>2.4291601342096669</v>
      </c>
      <c r="AI48" s="57">
        <v>0.68442710103676063</v>
      </c>
      <c r="AJ48" s="57">
        <v>3.4642009289244271</v>
      </c>
      <c r="AK48" s="57">
        <v>11.16647559683652</v>
      </c>
      <c r="AL48" s="57">
        <v>7.2955695160881362</v>
      </c>
      <c r="AM48" s="57">
        <v>7.7953484563788749</v>
      </c>
      <c r="AN48" s="57">
        <v>7.6873634595688429</v>
      </c>
      <c r="AO48" s="57">
        <v>-0.79159646821287311</v>
      </c>
      <c r="AP48" s="57">
        <v>1.9215318508474439</v>
      </c>
      <c r="AQ48" s="57">
        <v>3.3259612505154479</v>
      </c>
      <c r="AR48" s="57">
        <v>3.1542568596041036</v>
      </c>
      <c r="AS48" s="57">
        <v>2.7471011958706981</v>
      </c>
      <c r="AT48" s="57">
        <v>6.8692314943448025</v>
      </c>
      <c r="AU48" s="57">
        <v>4.2055867475977919</v>
      </c>
      <c r="AV48" s="57">
        <v>-0.61981063907236944</v>
      </c>
      <c r="AW48" s="57">
        <v>0.97285977499880971</v>
      </c>
      <c r="AX48" s="57">
        <v>1.5139667048429146</v>
      </c>
      <c r="AY48" s="57">
        <v>8.9296721869239093</v>
      </c>
      <c r="AZ48" s="57">
        <v>11.180530642415931</v>
      </c>
      <c r="BA48" s="57">
        <v>6.2916322306578678</v>
      </c>
      <c r="BB48" s="57">
        <v>5.9639012246201588</v>
      </c>
      <c r="BC48" s="57">
        <v>-0.29700745638218962</v>
      </c>
      <c r="BD48" s="57">
        <v>0.91712616050374152</v>
      </c>
      <c r="BE48" s="57">
        <v>3.9094740831178854</v>
      </c>
      <c r="BF48" s="57">
        <v>0.94365530611406712</v>
      </c>
      <c r="BG48" s="57">
        <v>0.74690207011707344</v>
      </c>
      <c r="BH48" s="57">
        <v>1.4339385319900799</v>
      </c>
      <c r="BI48" s="57">
        <v>1.1645482034856798</v>
      </c>
      <c r="BJ48" s="57">
        <v>3.5510067091379085</v>
      </c>
      <c r="BK48" s="57">
        <v>4.5829196083109878</v>
      </c>
      <c r="BL48" s="57">
        <v>5.6260210392808858</v>
      </c>
      <c r="BM48" s="57">
        <v>-1.0537229520126203</v>
      </c>
      <c r="BN48" s="57">
        <v>0.74270784927558964</v>
      </c>
      <c r="BO48" s="57">
        <v>2.6668059975382619</v>
      </c>
      <c r="BP48" s="57">
        <v>4.0286003873591483</v>
      </c>
      <c r="BQ48" s="57">
        <v>6.4680647671147398</v>
      </c>
      <c r="BR48" s="57">
        <v>3.1744183108847039</v>
      </c>
      <c r="BS48" s="57">
        <v>4.044294960815904</v>
      </c>
      <c r="BT48" s="58">
        <v>-1.4590949472648447</v>
      </c>
      <c r="BU48" s="58">
        <v>2.1101292052876346</v>
      </c>
      <c r="BV48" s="58">
        <v>-0.81692760820668298</v>
      </c>
      <c r="BW48" s="58">
        <v>-3.2827712381637895</v>
      </c>
      <c r="BX48" s="58">
        <v>0.8388293606174102</v>
      </c>
      <c r="BY48" s="58">
        <v>-1.4585478754732151</v>
      </c>
      <c r="BZ48" s="58">
        <v>1.3999223009019772</v>
      </c>
      <c r="CA48" s="58">
        <v>5.7661018352339681</v>
      </c>
      <c r="CB48" s="58">
        <v>2.8828638590602225</v>
      </c>
      <c r="CC48" s="58">
        <v>7.4293045981426786</v>
      </c>
      <c r="CD48" s="58">
        <v>8.5947228486458158</v>
      </c>
      <c r="CE48" s="58">
        <v>5.4716966247984686</v>
      </c>
      <c r="CF48" s="58">
        <v>6.3464589324274527</v>
      </c>
      <c r="CG48" s="58">
        <v>3.7196676695939317</v>
      </c>
      <c r="CH48" s="58">
        <v>3.081181747823436</v>
      </c>
      <c r="CI48" s="59">
        <v>-0.42393248816907203</v>
      </c>
    </row>
    <row r="49" spans="1:87" ht="14" x14ac:dyDescent="0.2">
      <c r="A49" s="24"/>
      <c r="B49" s="25" t="s">
        <v>20</v>
      </c>
      <c r="C49" s="26" t="s">
        <v>21</v>
      </c>
      <c r="D49" s="60"/>
      <c r="E49" s="60"/>
      <c r="F49" s="60"/>
      <c r="G49" s="60"/>
      <c r="H49" s="61">
        <v>4.1374937046884099</v>
      </c>
      <c r="I49" s="61">
        <v>-1.0495007982359112</v>
      </c>
      <c r="J49" s="61">
        <v>3.6327764181071558</v>
      </c>
      <c r="K49" s="61">
        <v>2.5240361711492625</v>
      </c>
      <c r="L49" s="61">
        <v>-2.081233304010695</v>
      </c>
      <c r="M49" s="61">
        <v>1.199032045340104</v>
      </c>
      <c r="N49" s="61">
        <v>0.58860498735633371</v>
      </c>
      <c r="O49" s="61">
        <v>5.3962031603694385</v>
      </c>
      <c r="P49" s="61">
        <v>11.023013891189962</v>
      </c>
      <c r="Q49" s="61">
        <v>10.3361369014563</v>
      </c>
      <c r="R49" s="61">
        <v>11.080558468084604</v>
      </c>
      <c r="S49" s="61">
        <v>5.5211553571597136</v>
      </c>
      <c r="T49" s="61">
        <v>7.92323261576459</v>
      </c>
      <c r="U49" s="61">
        <v>10.898857918010194</v>
      </c>
      <c r="V49" s="61">
        <v>9.9234079085568538</v>
      </c>
      <c r="W49" s="61">
        <v>16.647375826448283</v>
      </c>
      <c r="X49" s="61">
        <v>14.756583237030412</v>
      </c>
      <c r="Y49" s="61">
        <v>15.515508285278585</v>
      </c>
      <c r="Z49" s="61">
        <v>9.0712623493269291</v>
      </c>
      <c r="AA49" s="61">
        <v>5.1049700057248515</v>
      </c>
      <c r="AB49" s="61">
        <v>10.026771346266969</v>
      </c>
      <c r="AC49" s="61">
        <v>12.359237194138586</v>
      </c>
      <c r="AD49" s="61">
        <v>18.107231108069797</v>
      </c>
      <c r="AE49" s="61">
        <v>17.05139768960224</v>
      </c>
      <c r="AF49" s="61">
        <v>11.396295316597588</v>
      </c>
      <c r="AG49" s="61">
        <v>5.7036251507102378</v>
      </c>
      <c r="AH49" s="61">
        <v>2.0661622219094227</v>
      </c>
      <c r="AI49" s="61">
        <v>2.9756802263638491</v>
      </c>
      <c r="AJ49" s="61">
        <v>2.9833365267342629</v>
      </c>
      <c r="AK49" s="61">
        <v>4.7901493770174</v>
      </c>
      <c r="AL49" s="61">
        <v>6.6089358673064709</v>
      </c>
      <c r="AM49" s="61">
        <v>6.7546910284879829</v>
      </c>
      <c r="AN49" s="61">
        <v>4.1216319226200113</v>
      </c>
      <c r="AO49" s="61">
        <v>-3.7402478447062748</v>
      </c>
      <c r="AP49" s="61">
        <v>-2.3638788512054276</v>
      </c>
      <c r="AQ49" s="61">
        <v>-3.1016439448169564</v>
      </c>
      <c r="AR49" s="61">
        <v>-2.6786692775309859</v>
      </c>
      <c r="AS49" s="61">
        <v>2.8583167730910333</v>
      </c>
      <c r="AT49" s="61">
        <v>-2.5263357230435588</v>
      </c>
      <c r="AU49" s="61">
        <v>-1.7353216505130575</v>
      </c>
      <c r="AV49" s="61">
        <v>-1.1503003418676911</v>
      </c>
      <c r="AW49" s="61">
        <v>-5.0147534588564753</v>
      </c>
      <c r="AX49" s="61">
        <v>-1.1030635488399412</v>
      </c>
      <c r="AY49" s="61">
        <v>-4.1670126284642208</v>
      </c>
      <c r="AZ49" s="61">
        <v>-8.1923137586326931</v>
      </c>
      <c r="BA49" s="61">
        <v>-4.6420993841411189</v>
      </c>
      <c r="BB49" s="61">
        <v>-6.4833041830769673</v>
      </c>
      <c r="BC49" s="61">
        <v>-3.6830736503628856</v>
      </c>
      <c r="BD49" s="61">
        <v>-4.6634957558329972</v>
      </c>
      <c r="BE49" s="61">
        <v>-3.1865237570100788</v>
      </c>
      <c r="BF49" s="61">
        <v>7.7433358411241215E-2</v>
      </c>
      <c r="BG49" s="61">
        <v>1.0093585441773456</v>
      </c>
      <c r="BH49" s="61">
        <v>4.7474035792098022</v>
      </c>
      <c r="BI49" s="61">
        <v>0.49452467753916096</v>
      </c>
      <c r="BJ49" s="61">
        <v>0.30783126080093837</v>
      </c>
      <c r="BK49" s="61">
        <v>2.2328873748383842</v>
      </c>
      <c r="BL49" s="61">
        <v>-3.1892062197587023</v>
      </c>
      <c r="BM49" s="61">
        <v>-20.88630661591688</v>
      </c>
      <c r="BN49" s="61">
        <v>-18.189557785077682</v>
      </c>
      <c r="BO49" s="61">
        <v>-18.291627854047391</v>
      </c>
      <c r="BP49" s="61">
        <v>-14.0413666755625</v>
      </c>
      <c r="BQ49" s="61">
        <v>5.2175004636994373</v>
      </c>
      <c r="BR49" s="61">
        <v>2.4005087593040884</v>
      </c>
      <c r="BS49" s="61">
        <v>7.7029638339951418</v>
      </c>
      <c r="BT49" s="62">
        <v>2.1374201204690451</v>
      </c>
      <c r="BU49" s="62">
        <v>3.2754125155113059</v>
      </c>
      <c r="BV49" s="62">
        <v>7.0799258320882785</v>
      </c>
      <c r="BW49" s="62">
        <v>-5.6532541183530327</v>
      </c>
      <c r="BX49" s="62">
        <v>3.2732595620737186</v>
      </c>
      <c r="BY49" s="62">
        <v>3.3742634640719302</v>
      </c>
      <c r="BZ49" s="62">
        <v>2.1156669373340975</v>
      </c>
      <c r="CA49" s="62">
        <v>1.5943346330731174</v>
      </c>
      <c r="CB49" s="62">
        <v>-0.75180084797568725</v>
      </c>
      <c r="CC49" s="62">
        <v>-1.8968161491327891</v>
      </c>
      <c r="CD49" s="62">
        <v>-5.6038883084268178</v>
      </c>
      <c r="CE49" s="62">
        <v>-5.2041780513421259</v>
      </c>
      <c r="CF49" s="62">
        <v>-5.7218504528212009</v>
      </c>
      <c r="CG49" s="62">
        <v>-10.257219755535147</v>
      </c>
      <c r="CH49" s="62">
        <v>-5.9172214408675501</v>
      </c>
      <c r="CI49" s="63">
        <v>-2.901558881727226</v>
      </c>
    </row>
    <row r="50" spans="1:87" ht="14" x14ac:dyDescent="0.2">
      <c r="A50" s="29"/>
      <c r="B50" s="20" t="s">
        <v>22</v>
      </c>
      <c r="C50" s="21" t="s">
        <v>23</v>
      </c>
      <c r="D50" s="64"/>
      <c r="E50" s="64"/>
      <c r="F50" s="64"/>
      <c r="G50" s="64"/>
      <c r="H50" s="57">
        <v>6.2936780609864229</v>
      </c>
      <c r="I50" s="57">
        <v>3.4561099302066651</v>
      </c>
      <c r="J50" s="57">
        <v>9.4661282645729159</v>
      </c>
      <c r="K50" s="57">
        <v>9.6329808601365698</v>
      </c>
      <c r="L50" s="57">
        <v>10.105894087975315</v>
      </c>
      <c r="M50" s="57">
        <v>8.489519506156455</v>
      </c>
      <c r="N50" s="57">
        <v>5.4701375409675705</v>
      </c>
      <c r="O50" s="57">
        <v>7.4079891165025771</v>
      </c>
      <c r="P50" s="57">
        <v>4.2279148914000189</v>
      </c>
      <c r="Q50" s="57">
        <v>3.2145844441030533</v>
      </c>
      <c r="R50" s="57">
        <v>-0.10913064572962128</v>
      </c>
      <c r="S50" s="57">
        <v>-5.0760675492076501</v>
      </c>
      <c r="T50" s="57">
        <v>-4.2957179320439138</v>
      </c>
      <c r="U50" s="57">
        <v>-6.5075433766580915</v>
      </c>
      <c r="V50" s="57">
        <v>-3.4601932900252308</v>
      </c>
      <c r="W50" s="57">
        <v>-0.50204877715994201</v>
      </c>
      <c r="X50" s="57">
        <v>0.32007522854860326</v>
      </c>
      <c r="Y50" s="57">
        <v>3.5497030217082113</v>
      </c>
      <c r="Z50" s="57">
        <v>0.96438876945148877</v>
      </c>
      <c r="AA50" s="57">
        <v>2.6693058170626642</v>
      </c>
      <c r="AB50" s="57">
        <v>6.1934430651801478</v>
      </c>
      <c r="AC50" s="57">
        <v>4.7453059743512114</v>
      </c>
      <c r="AD50" s="57">
        <v>7.6515293026749873</v>
      </c>
      <c r="AE50" s="57">
        <v>3.8386566942500906</v>
      </c>
      <c r="AF50" s="57">
        <v>3.1045826168288926</v>
      </c>
      <c r="AG50" s="57">
        <v>1.1710007040968549</v>
      </c>
      <c r="AH50" s="57">
        <v>-3.5220959785803529E-2</v>
      </c>
      <c r="AI50" s="57">
        <v>-0.67839955803506768</v>
      </c>
      <c r="AJ50" s="57">
        <v>-4.2935531783227816</v>
      </c>
      <c r="AK50" s="57">
        <v>3.7238177396380365</v>
      </c>
      <c r="AL50" s="57">
        <v>2.2101462227277011</v>
      </c>
      <c r="AM50" s="57">
        <v>4.1436985761111202</v>
      </c>
      <c r="AN50" s="57">
        <v>6.8685046887167545</v>
      </c>
      <c r="AO50" s="57">
        <v>0.86163723250874114</v>
      </c>
      <c r="AP50" s="57">
        <v>2.4156263948274841</v>
      </c>
      <c r="AQ50" s="57">
        <v>1.8499359496493071</v>
      </c>
      <c r="AR50" s="57">
        <v>0.6956025113777855</v>
      </c>
      <c r="AS50" s="57">
        <v>0.98680543128928377</v>
      </c>
      <c r="AT50" s="57">
        <v>2.2613669058706449</v>
      </c>
      <c r="AU50" s="57">
        <v>3.8840814384118971</v>
      </c>
      <c r="AV50" s="57">
        <v>4.3339018154246389</v>
      </c>
      <c r="AW50" s="57">
        <v>6.0232362626708067</v>
      </c>
      <c r="AX50" s="57">
        <v>1.4083519223748482</v>
      </c>
      <c r="AY50" s="57">
        <v>1.4748458230893391</v>
      </c>
      <c r="AZ50" s="57">
        <v>0.63806316304260235</v>
      </c>
      <c r="BA50" s="57">
        <v>-4.556528992450211</v>
      </c>
      <c r="BB50" s="57">
        <v>-1.0933261400749217</v>
      </c>
      <c r="BC50" s="57">
        <v>-2.1268151523399155</v>
      </c>
      <c r="BD50" s="57">
        <v>-2.2824113757599918</v>
      </c>
      <c r="BE50" s="57">
        <v>3.810646189578577</v>
      </c>
      <c r="BF50" s="57">
        <v>1.9601262005813851</v>
      </c>
      <c r="BG50" s="57">
        <v>2.3107546426842021</v>
      </c>
      <c r="BH50" s="57">
        <v>2.2780125648613705</v>
      </c>
      <c r="BI50" s="57">
        <v>-0.1398959634374819</v>
      </c>
      <c r="BJ50" s="57">
        <v>1.3716647751756739</v>
      </c>
      <c r="BK50" s="57">
        <v>1.3446205724477096</v>
      </c>
      <c r="BL50" s="57">
        <v>-1.2113840710277515</v>
      </c>
      <c r="BM50" s="57">
        <v>-27.415376465361035</v>
      </c>
      <c r="BN50" s="57">
        <v>-7.709249632259926</v>
      </c>
      <c r="BO50" s="57">
        <v>-1.0775201311612363</v>
      </c>
      <c r="BP50" s="57">
        <v>4.8583414834232599</v>
      </c>
      <c r="BQ50" s="57">
        <v>31.046195393709354</v>
      </c>
      <c r="BR50" s="57">
        <v>14.921079769145763</v>
      </c>
      <c r="BS50" s="57">
        <v>8.2742364965446598</v>
      </c>
      <c r="BT50" s="58">
        <v>8.1152848761025069</v>
      </c>
      <c r="BU50" s="58">
        <v>17.875699994711709</v>
      </c>
      <c r="BV50" s="58">
        <v>5.5980487995310142</v>
      </c>
      <c r="BW50" s="58">
        <v>2.6828079085121033</v>
      </c>
      <c r="BX50" s="58">
        <v>3.0085414328746793</v>
      </c>
      <c r="BY50" s="58">
        <v>-1.4618149936399476</v>
      </c>
      <c r="BZ50" s="58">
        <v>-4.0985516795270485</v>
      </c>
      <c r="CA50" s="58">
        <v>-3.4985656145598227</v>
      </c>
      <c r="CB50" s="58">
        <v>-5.5264665637846804</v>
      </c>
      <c r="CC50" s="58">
        <v>-2.0387297476834618</v>
      </c>
      <c r="CD50" s="58">
        <v>-2.2545970153481534</v>
      </c>
      <c r="CE50" s="58">
        <v>-0.50563703393112291</v>
      </c>
      <c r="CF50" s="58">
        <v>1.4253567830587741</v>
      </c>
      <c r="CG50" s="58">
        <v>0.78114362477718657</v>
      </c>
      <c r="CH50" s="58">
        <v>4.1348083545054095</v>
      </c>
      <c r="CI50" s="59">
        <v>1.0207392156304991</v>
      </c>
    </row>
    <row r="51" spans="1:87" ht="28" x14ac:dyDescent="0.2">
      <c r="A51" s="24"/>
      <c r="B51" s="25" t="s">
        <v>24</v>
      </c>
      <c r="C51" s="26" t="s">
        <v>25</v>
      </c>
      <c r="D51" s="65"/>
      <c r="E51" s="65"/>
      <c r="F51" s="65"/>
      <c r="G51" s="65"/>
      <c r="H51" s="61">
        <v>5.185267006056506</v>
      </c>
      <c r="I51" s="61">
        <v>4.5708934657644704</v>
      </c>
      <c r="J51" s="61">
        <v>4.8889950671229769</v>
      </c>
      <c r="K51" s="61">
        <v>6.6147633523067242</v>
      </c>
      <c r="L51" s="61">
        <v>6.4491727410434407</v>
      </c>
      <c r="M51" s="61">
        <v>4.0061157380957724</v>
      </c>
      <c r="N51" s="61">
        <v>3.4369189014006736</v>
      </c>
      <c r="O51" s="61">
        <v>3.1036131918505987</v>
      </c>
      <c r="P51" s="61">
        <v>-1.6001847527004003</v>
      </c>
      <c r="Q51" s="61">
        <v>0.85253290698948092</v>
      </c>
      <c r="R51" s="61">
        <v>1.4644805225904349</v>
      </c>
      <c r="S51" s="61">
        <v>1.3760823792183743</v>
      </c>
      <c r="T51" s="61">
        <v>0.47239073335920523</v>
      </c>
      <c r="U51" s="61">
        <v>0.87920019880469624</v>
      </c>
      <c r="V51" s="61">
        <v>3.0512985129646779</v>
      </c>
      <c r="W51" s="61">
        <v>5.05109473073</v>
      </c>
      <c r="X51" s="61">
        <v>8.2941089060816608</v>
      </c>
      <c r="Y51" s="61">
        <v>5.7757799237452048</v>
      </c>
      <c r="Z51" s="61">
        <v>2.9601643866532328</v>
      </c>
      <c r="AA51" s="61">
        <v>-0.96681583070559896</v>
      </c>
      <c r="AB51" s="61">
        <v>2.4431336772599082</v>
      </c>
      <c r="AC51" s="61">
        <v>2.4933696708234692</v>
      </c>
      <c r="AD51" s="61">
        <v>3.3414379531683949</v>
      </c>
      <c r="AE51" s="61">
        <v>3.987080137304531</v>
      </c>
      <c r="AF51" s="61">
        <v>2.1841586281395422</v>
      </c>
      <c r="AG51" s="61">
        <v>2.2658801961866288</v>
      </c>
      <c r="AH51" s="61">
        <v>2.4563905105806043</v>
      </c>
      <c r="AI51" s="61">
        <v>1.6960169132401006</v>
      </c>
      <c r="AJ51" s="61">
        <v>1.9706242886947223</v>
      </c>
      <c r="AK51" s="61">
        <v>4.7071646276191927</v>
      </c>
      <c r="AL51" s="61">
        <v>3.7769229840097154</v>
      </c>
      <c r="AM51" s="61">
        <v>4.3660964936376132</v>
      </c>
      <c r="AN51" s="61">
        <v>4.4935317374471708</v>
      </c>
      <c r="AO51" s="61">
        <v>3.683239900569248</v>
      </c>
      <c r="AP51" s="61">
        <v>3.7403554951314533</v>
      </c>
      <c r="AQ51" s="61">
        <v>1.8689517669471201</v>
      </c>
      <c r="AR51" s="61">
        <v>-0.65615046766180285</v>
      </c>
      <c r="AS51" s="61">
        <v>-2.152186905064795</v>
      </c>
      <c r="AT51" s="61">
        <v>-0.36261621911694419</v>
      </c>
      <c r="AU51" s="61">
        <v>0.3611976584647465</v>
      </c>
      <c r="AV51" s="61">
        <v>1.108732534353706</v>
      </c>
      <c r="AW51" s="61">
        <v>-0.8800897588852763</v>
      </c>
      <c r="AX51" s="61">
        <v>-0.82448731851985713</v>
      </c>
      <c r="AY51" s="61">
        <v>0.57681318308084428</v>
      </c>
      <c r="AZ51" s="61">
        <v>0.50877745526048557</v>
      </c>
      <c r="BA51" s="61">
        <v>3.1393835347863615</v>
      </c>
      <c r="BB51" s="61">
        <v>3.9823513573197005</v>
      </c>
      <c r="BC51" s="61">
        <v>3.8912119530316573</v>
      </c>
      <c r="BD51" s="61">
        <v>2.0455754549799678</v>
      </c>
      <c r="BE51" s="61">
        <v>2.7381990048822189</v>
      </c>
      <c r="BF51" s="61">
        <v>2.9830059698687847</v>
      </c>
      <c r="BG51" s="61">
        <v>2.4131012150387221</v>
      </c>
      <c r="BH51" s="61">
        <v>3.1324311627011809</v>
      </c>
      <c r="BI51" s="61">
        <v>2.6635852017066668</v>
      </c>
      <c r="BJ51" s="61">
        <v>2.4727452267179899</v>
      </c>
      <c r="BK51" s="61">
        <v>1.8483617559850671</v>
      </c>
      <c r="BL51" s="61">
        <v>1.8655506431090032</v>
      </c>
      <c r="BM51" s="61">
        <v>-9.4341730260009484</v>
      </c>
      <c r="BN51" s="61">
        <v>-5.6856656906351333</v>
      </c>
      <c r="BO51" s="61">
        <v>-2.0040039510949015</v>
      </c>
      <c r="BP51" s="61">
        <v>-1.372277560897345</v>
      </c>
      <c r="BQ51" s="61">
        <v>9.4657172739688917</v>
      </c>
      <c r="BR51" s="61">
        <v>8.6314275365429154</v>
      </c>
      <c r="BS51" s="61">
        <v>7.0540725795111996</v>
      </c>
      <c r="BT51" s="62">
        <v>5.8674251599317699</v>
      </c>
      <c r="BU51" s="62">
        <v>7.5526942336807252</v>
      </c>
      <c r="BV51" s="62">
        <v>3.1277639591467619</v>
      </c>
      <c r="BW51" s="62">
        <v>2.2167638239288863</v>
      </c>
      <c r="BX51" s="62">
        <v>2.3798916640675856</v>
      </c>
      <c r="BY51" s="62">
        <v>2.5113337151869217</v>
      </c>
      <c r="BZ51" s="62">
        <v>3.7242688362555612</v>
      </c>
      <c r="CA51" s="62">
        <v>3.9511973141624424</v>
      </c>
      <c r="CB51" s="62">
        <v>5.5690833140550353</v>
      </c>
      <c r="CC51" s="62">
        <v>3.0113629938046955</v>
      </c>
      <c r="CD51" s="62">
        <v>1.3161066937939125</v>
      </c>
      <c r="CE51" s="62">
        <v>0.26136466703576389</v>
      </c>
      <c r="CF51" s="62">
        <v>-1.3280109028568745</v>
      </c>
      <c r="CG51" s="62">
        <v>0.90211199538279629</v>
      </c>
      <c r="CH51" s="62">
        <v>2.0604430427209905</v>
      </c>
      <c r="CI51" s="63">
        <v>2.8911871382852041</v>
      </c>
    </row>
    <row r="52" spans="1:87" ht="14" x14ac:dyDescent="0.2">
      <c r="A52" s="19"/>
      <c r="B52" s="20" t="s">
        <v>26</v>
      </c>
      <c r="C52" s="21" t="s">
        <v>27</v>
      </c>
      <c r="D52" s="56"/>
      <c r="E52" s="56"/>
      <c r="F52" s="56"/>
      <c r="G52" s="56"/>
      <c r="H52" s="57">
        <v>5.906539262365726</v>
      </c>
      <c r="I52" s="57">
        <v>11.139242475280469</v>
      </c>
      <c r="J52" s="57">
        <v>17.677406292794529</v>
      </c>
      <c r="K52" s="57">
        <v>13.835986593759927</v>
      </c>
      <c r="L52" s="57">
        <v>6.3975191315673356</v>
      </c>
      <c r="M52" s="57">
        <v>19.370751480882518</v>
      </c>
      <c r="N52" s="57">
        <v>5.0059316437214108</v>
      </c>
      <c r="O52" s="57">
        <v>0.32027772416623179</v>
      </c>
      <c r="P52" s="57">
        <v>1.4644507465714725</v>
      </c>
      <c r="Q52" s="57">
        <v>17.476303264939631</v>
      </c>
      <c r="R52" s="57">
        <v>22.637299819617368</v>
      </c>
      <c r="S52" s="57">
        <v>-0.19697997356361441</v>
      </c>
      <c r="T52" s="57">
        <v>-3.3018021958781532</v>
      </c>
      <c r="U52" s="57">
        <v>8.4648076873622671</v>
      </c>
      <c r="V52" s="57">
        <v>-3.5033849147326066</v>
      </c>
      <c r="W52" s="57">
        <v>8.6219882406128647</v>
      </c>
      <c r="X52" s="57">
        <v>5.1513572431109935</v>
      </c>
      <c r="Y52" s="57">
        <v>-9.1188798137603015</v>
      </c>
      <c r="Z52" s="57">
        <v>-3.9261652062993306</v>
      </c>
      <c r="AA52" s="57">
        <v>6.1555819354523749</v>
      </c>
      <c r="AB52" s="57">
        <v>2.0899595506000708</v>
      </c>
      <c r="AC52" s="57">
        <v>8.9887192398197016</v>
      </c>
      <c r="AD52" s="57">
        <v>11.680315702124361</v>
      </c>
      <c r="AE52" s="57">
        <v>2.3676113751062218</v>
      </c>
      <c r="AF52" s="57">
        <v>17.748965696866975</v>
      </c>
      <c r="AG52" s="57">
        <v>14.861015806162413</v>
      </c>
      <c r="AH52" s="57">
        <v>-7.6222075750428928</v>
      </c>
      <c r="AI52" s="57">
        <v>1.5592345199952007</v>
      </c>
      <c r="AJ52" s="57">
        <v>1.719659140454354</v>
      </c>
      <c r="AK52" s="57">
        <v>5.6244202507304237</v>
      </c>
      <c r="AL52" s="57">
        <v>27.364482900026246</v>
      </c>
      <c r="AM52" s="57">
        <v>11.742092996317368</v>
      </c>
      <c r="AN52" s="57">
        <v>14.456044919512976</v>
      </c>
      <c r="AO52" s="57">
        <v>6.4544433565540515</v>
      </c>
      <c r="AP52" s="57">
        <v>10.222383530574646</v>
      </c>
      <c r="AQ52" s="57">
        <v>5.4957255085570296</v>
      </c>
      <c r="AR52" s="57">
        <v>5.8232147721852385</v>
      </c>
      <c r="AS52" s="57">
        <v>9.7511849705279303</v>
      </c>
      <c r="AT52" s="57">
        <v>1.8135788710268201</v>
      </c>
      <c r="AU52" s="57">
        <v>7.9734234470771241</v>
      </c>
      <c r="AV52" s="57">
        <v>8.6691029221433382</v>
      </c>
      <c r="AW52" s="57">
        <v>2.5712686496978563</v>
      </c>
      <c r="AX52" s="57">
        <v>4.5447653849481497</v>
      </c>
      <c r="AY52" s="57">
        <v>-0.72231693451979595</v>
      </c>
      <c r="AZ52" s="57">
        <v>-4.34970522972948</v>
      </c>
      <c r="BA52" s="57">
        <v>-1.1046100740953051</v>
      </c>
      <c r="BB52" s="57">
        <v>-2.1069631883310791</v>
      </c>
      <c r="BC52" s="57">
        <v>-0.67554607598661676</v>
      </c>
      <c r="BD52" s="57">
        <v>-1.0559547907181326</v>
      </c>
      <c r="BE52" s="57">
        <v>-6.5899481807554849</v>
      </c>
      <c r="BF52" s="57">
        <v>2.1549208716415507</v>
      </c>
      <c r="BG52" s="57">
        <v>0.44297933243655052</v>
      </c>
      <c r="BH52" s="57">
        <v>0.20010137516656812</v>
      </c>
      <c r="BI52" s="57">
        <v>-1.7236848710941644</v>
      </c>
      <c r="BJ52" s="57">
        <v>-8.5553016112675238</v>
      </c>
      <c r="BK52" s="57">
        <v>-4.8590816198427689</v>
      </c>
      <c r="BL52" s="57">
        <v>-18.46976642916853</v>
      </c>
      <c r="BM52" s="57">
        <v>-43.515775496429441</v>
      </c>
      <c r="BN52" s="57">
        <v>-30.098626235005568</v>
      </c>
      <c r="BO52" s="57">
        <v>-26.14287001750985</v>
      </c>
      <c r="BP52" s="57">
        <v>-7.05060736395248</v>
      </c>
      <c r="BQ52" s="57">
        <v>23.832957239627063</v>
      </c>
      <c r="BR52" s="57">
        <v>-0.25349761324257258</v>
      </c>
      <c r="BS52" s="57">
        <v>5.8129074043600895</v>
      </c>
      <c r="BT52" s="58">
        <v>5.0696598245452833</v>
      </c>
      <c r="BU52" s="58">
        <v>9.4258027075587734</v>
      </c>
      <c r="BV52" s="58">
        <v>14.299997424435261</v>
      </c>
      <c r="BW52" s="58">
        <v>-0.96640828594850348</v>
      </c>
      <c r="BX52" s="58">
        <v>-1.817893275219717</v>
      </c>
      <c r="BY52" s="58">
        <v>-1.304615625993705</v>
      </c>
      <c r="BZ52" s="58">
        <v>-7.4452356842985949</v>
      </c>
      <c r="CA52" s="58">
        <v>-1.668826393682366</v>
      </c>
      <c r="CB52" s="58">
        <v>-0.5559965141124934</v>
      </c>
      <c r="CC52" s="58">
        <v>0.10476840344135496</v>
      </c>
      <c r="CD52" s="58">
        <v>2.0450372092364546</v>
      </c>
      <c r="CE52" s="58">
        <v>-1.1613463717919359</v>
      </c>
      <c r="CF52" s="58">
        <v>-3.0118311844651373</v>
      </c>
      <c r="CG52" s="58">
        <v>-3.5754957368204003</v>
      </c>
      <c r="CH52" s="58">
        <v>-1.8781896551540456</v>
      </c>
      <c r="CI52" s="59">
        <v>-2.614171461560872</v>
      </c>
    </row>
    <row r="53" spans="1:87" ht="28" x14ac:dyDescent="0.2">
      <c r="A53" s="30"/>
      <c r="B53" s="25" t="s">
        <v>28</v>
      </c>
      <c r="C53" s="26" t="s">
        <v>29</v>
      </c>
      <c r="D53" s="60"/>
      <c r="E53" s="60"/>
      <c r="F53" s="60"/>
      <c r="G53" s="60"/>
      <c r="H53" s="61">
        <v>5.8371951112649896</v>
      </c>
      <c r="I53" s="61">
        <v>6.0733003951619793</v>
      </c>
      <c r="J53" s="61">
        <v>9.3415923037903923</v>
      </c>
      <c r="K53" s="61">
        <v>8.8807058585865946</v>
      </c>
      <c r="L53" s="61">
        <v>9.1121239446497242</v>
      </c>
      <c r="M53" s="61">
        <v>8.0734984214287095</v>
      </c>
      <c r="N53" s="61">
        <v>7.0914752433051547</v>
      </c>
      <c r="O53" s="61">
        <v>8.1064201950304522</v>
      </c>
      <c r="P53" s="61">
        <v>6.1830128658029224</v>
      </c>
      <c r="Q53" s="61">
        <v>4.0634388805648598</v>
      </c>
      <c r="R53" s="61">
        <v>2.2307542641455882</v>
      </c>
      <c r="S53" s="61">
        <v>0.24531540806071916</v>
      </c>
      <c r="T53" s="61">
        <v>-1.6132897484704074</v>
      </c>
      <c r="U53" s="61">
        <v>-0.67398265085655851</v>
      </c>
      <c r="V53" s="61">
        <v>0.20468102478299954</v>
      </c>
      <c r="W53" s="61">
        <v>1.2386376072495153</v>
      </c>
      <c r="X53" s="61">
        <v>4.5112691531800095</v>
      </c>
      <c r="Y53" s="61">
        <v>4.7024273968883108</v>
      </c>
      <c r="Z53" s="61">
        <v>5.3173304415561518</v>
      </c>
      <c r="AA53" s="61">
        <v>6.6418987903019513</v>
      </c>
      <c r="AB53" s="61">
        <v>6.5450059038670787</v>
      </c>
      <c r="AC53" s="61">
        <v>7.8615483616590041</v>
      </c>
      <c r="AD53" s="61">
        <v>7.624358185165022</v>
      </c>
      <c r="AE53" s="61">
        <v>5.6691246653948042</v>
      </c>
      <c r="AF53" s="61">
        <v>6.2369018689070401</v>
      </c>
      <c r="AG53" s="61">
        <v>4.1307189821380206</v>
      </c>
      <c r="AH53" s="61">
        <v>2.5945273684159247</v>
      </c>
      <c r="AI53" s="61">
        <v>2.6357523515047774</v>
      </c>
      <c r="AJ53" s="61">
        <v>2.6802400764233596</v>
      </c>
      <c r="AK53" s="61">
        <v>5.045581084317277</v>
      </c>
      <c r="AL53" s="61">
        <v>5.1958329307705213</v>
      </c>
      <c r="AM53" s="61">
        <v>5.9295859186262305</v>
      </c>
      <c r="AN53" s="61">
        <v>5.4903741731198181</v>
      </c>
      <c r="AO53" s="61">
        <v>4.2034041358543561</v>
      </c>
      <c r="AP53" s="61">
        <v>4.6134555897780416</v>
      </c>
      <c r="AQ53" s="61">
        <v>4.6530835822375423</v>
      </c>
      <c r="AR53" s="61">
        <v>3.5944178052303783</v>
      </c>
      <c r="AS53" s="61">
        <v>2.8371017505682232</v>
      </c>
      <c r="AT53" s="61">
        <v>3.427739126190076</v>
      </c>
      <c r="AU53" s="61">
        <v>3.4599361320887851</v>
      </c>
      <c r="AV53" s="61">
        <v>3.5761408502882119</v>
      </c>
      <c r="AW53" s="61">
        <v>2.4785536487624853</v>
      </c>
      <c r="AX53" s="61">
        <v>2.172929702741726</v>
      </c>
      <c r="AY53" s="61">
        <v>2.5820566496387585</v>
      </c>
      <c r="AZ53" s="61">
        <v>1.2234979432909086</v>
      </c>
      <c r="BA53" s="61">
        <v>2.2844284594997646</v>
      </c>
      <c r="BB53" s="61">
        <v>3.4590374848713026</v>
      </c>
      <c r="BC53" s="61">
        <v>0.57997278099935556</v>
      </c>
      <c r="BD53" s="61">
        <v>3.8195004185382402</v>
      </c>
      <c r="BE53" s="61">
        <v>2.9715224308073829</v>
      </c>
      <c r="BF53" s="61">
        <v>1.7642538401129144</v>
      </c>
      <c r="BG53" s="61">
        <v>2.2672361451279812</v>
      </c>
      <c r="BH53" s="61">
        <v>2.1821549468287458</v>
      </c>
      <c r="BI53" s="61">
        <v>3.3744091066879349</v>
      </c>
      <c r="BJ53" s="61">
        <v>4.9948783541670139</v>
      </c>
      <c r="BK53" s="61">
        <v>4.2958920789129849</v>
      </c>
      <c r="BL53" s="61">
        <v>3.0635693987117918</v>
      </c>
      <c r="BM53" s="61">
        <v>-32.510754774718507</v>
      </c>
      <c r="BN53" s="61">
        <v>-20.114650061409961</v>
      </c>
      <c r="BO53" s="61">
        <v>-5.1624078812887149</v>
      </c>
      <c r="BP53" s="61">
        <v>-1.5193909327139323</v>
      </c>
      <c r="BQ53" s="61">
        <v>39.903427095929771</v>
      </c>
      <c r="BR53" s="61">
        <v>31.045279271028079</v>
      </c>
      <c r="BS53" s="61">
        <v>19.983160799630866</v>
      </c>
      <c r="BT53" s="62">
        <v>15.042672954232785</v>
      </c>
      <c r="BU53" s="62">
        <v>23.163429407407591</v>
      </c>
      <c r="BV53" s="62">
        <v>11.385649759032248</v>
      </c>
      <c r="BW53" s="62">
        <v>1.5418425470740971</v>
      </c>
      <c r="BX53" s="62">
        <v>-0.89563648971913778</v>
      </c>
      <c r="BY53" s="62">
        <v>-4.376398431668747</v>
      </c>
      <c r="BZ53" s="62">
        <v>-5.9421385377099796</v>
      </c>
      <c r="CA53" s="62">
        <v>-3.1718490644076525</v>
      </c>
      <c r="CB53" s="62">
        <v>-0.97341136824938701</v>
      </c>
      <c r="CC53" s="62">
        <v>-5.8785281806891021E-2</v>
      </c>
      <c r="CD53" s="62">
        <v>1.0502717927044216</v>
      </c>
      <c r="CE53" s="62">
        <v>4.4932670612064953</v>
      </c>
      <c r="CF53" s="62">
        <v>3.6868499861858055</v>
      </c>
      <c r="CG53" s="62">
        <v>5.8063963893522299</v>
      </c>
      <c r="CH53" s="62">
        <v>5.6512625046253362</v>
      </c>
      <c r="CI53" s="63">
        <v>3.4045554945210768</v>
      </c>
    </row>
    <row r="54" spans="1:87" ht="14" x14ac:dyDescent="0.2">
      <c r="A54" s="29"/>
      <c r="B54" s="20" t="s">
        <v>30</v>
      </c>
      <c r="C54" s="21" t="s">
        <v>31</v>
      </c>
      <c r="D54" s="64"/>
      <c r="E54" s="64"/>
      <c r="F54" s="64"/>
      <c r="G54" s="57"/>
      <c r="H54" s="57">
        <v>18.619617652036993</v>
      </c>
      <c r="I54" s="57">
        <v>20.241633908890222</v>
      </c>
      <c r="J54" s="57">
        <v>18.095898338623527</v>
      </c>
      <c r="K54" s="57">
        <v>5.5627011596660623</v>
      </c>
      <c r="L54" s="57">
        <v>12.415222275076559</v>
      </c>
      <c r="M54" s="57">
        <v>7.9709746694287986</v>
      </c>
      <c r="N54" s="57">
        <v>25.236314509306837</v>
      </c>
      <c r="O54" s="57">
        <v>13.224320438533226</v>
      </c>
      <c r="P54" s="57">
        <v>7.4410064858870157</v>
      </c>
      <c r="Q54" s="57">
        <v>5.1143142345771935</v>
      </c>
      <c r="R54" s="57">
        <v>0.3838254688619287</v>
      </c>
      <c r="S54" s="57">
        <v>-3.1000734632613103</v>
      </c>
      <c r="T54" s="57">
        <v>-5.7017895034339574</v>
      </c>
      <c r="U54" s="57">
        <v>-8.6535202532762128</v>
      </c>
      <c r="V54" s="57">
        <v>-15.191173045061561</v>
      </c>
      <c r="W54" s="57">
        <v>-4.2732556797351293</v>
      </c>
      <c r="X54" s="57">
        <v>5.737189764548674</v>
      </c>
      <c r="Y54" s="57">
        <v>16.759655017927017</v>
      </c>
      <c r="Z54" s="57">
        <v>24.164518637553329</v>
      </c>
      <c r="AA54" s="57">
        <v>19.31142917515713</v>
      </c>
      <c r="AB54" s="57">
        <v>16.042927612494438</v>
      </c>
      <c r="AC54" s="57">
        <v>8.2128216995354535</v>
      </c>
      <c r="AD54" s="57">
        <v>10.114464470988111</v>
      </c>
      <c r="AE54" s="57">
        <v>8.0537465274370419</v>
      </c>
      <c r="AF54" s="57">
        <v>2.9883273973014752</v>
      </c>
      <c r="AG54" s="57">
        <v>0.99506496709554426</v>
      </c>
      <c r="AH54" s="57">
        <v>-1.602264351523246</v>
      </c>
      <c r="AI54" s="57">
        <v>2.7900668262018229</v>
      </c>
      <c r="AJ54" s="57">
        <v>6.472062024788201</v>
      </c>
      <c r="AK54" s="57">
        <v>9.0782579430329378</v>
      </c>
      <c r="AL54" s="57">
        <v>11.919669900728053</v>
      </c>
      <c r="AM54" s="57">
        <v>7.9231643079624234</v>
      </c>
      <c r="AN54" s="57">
        <v>9.2045382849010906</v>
      </c>
      <c r="AO54" s="57">
        <v>9.2249022636236049</v>
      </c>
      <c r="AP54" s="57">
        <v>2.5596633196426524</v>
      </c>
      <c r="AQ54" s="57">
        <v>5.3171259825103334</v>
      </c>
      <c r="AR54" s="57">
        <v>0.38811081583828866</v>
      </c>
      <c r="AS54" s="57">
        <v>-0.79309970434701427</v>
      </c>
      <c r="AT54" s="57">
        <v>4.1564316658878226</v>
      </c>
      <c r="AU54" s="57">
        <v>1.435851721171872</v>
      </c>
      <c r="AV54" s="57">
        <v>0.33668166083597839</v>
      </c>
      <c r="AW54" s="57">
        <v>0.84185641116019383</v>
      </c>
      <c r="AX54" s="57">
        <v>-0.84463957904850417</v>
      </c>
      <c r="AY54" s="57">
        <v>-2.6553659605514923</v>
      </c>
      <c r="AZ54" s="57">
        <v>-1.376399044564991</v>
      </c>
      <c r="BA54" s="57">
        <v>5.4407465783427256E-2</v>
      </c>
      <c r="BB54" s="57">
        <v>-2.8989310595080013</v>
      </c>
      <c r="BC54" s="57">
        <v>3.1448081897244435</v>
      </c>
      <c r="BD54" s="57">
        <v>0.75907568623070176</v>
      </c>
      <c r="BE54" s="57">
        <v>2.7004764894107041</v>
      </c>
      <c r="BF54" s="57">
        <v>6.8891962733305121</v>
      </c>
      <c r="BG54" s="57">
        <v>3.6641614107350051</v>
      </c>
      <c r="BH54" s="57">
        <v>3.3232455840463331</v>
      </c>
      <c r="BI54" s="57">
        <v>2.7616968049373583</v>
      </c>
      <c r="BJ54" s="57">
        <v>-1.2677163625578629</v>
      </c>
      <c r="BK54" s="57">
        <v>-0.71484848553326685</v>
      </c>
      <c r="BL54" s="57">
        <v>0.5819600978582713</v>
      </c>
      <c r="BM54" s="57">
        <v>-5.9122319576910769</v>
      </c>
      <c r="BN54" s="57">
        <v>-2.1331407487043492</v>
      </c>
      <c r="BO54" s="57">
        <v>-3.3899169358778352</v>
      </c>
      <c r="BP54" s="57">
        <v>3.3629923657015866</v>
      </c>
      <c r="BQ54" s="57">
        <v>11.77793946522219</v>
      </c>
      <c r="BR54" s="57">
        <v>14.239155197192744</v>
      </c>
      <c r="BS54" s="57">
        <v>20.67670135622437</v>
      </c>
      <c r="BT54" s="58">
        <v>20.840362336110402</v>
      </c>
      <c r="BU54" s="58">
        <v>16.657070343363628</v>
      </c>
      <c r="BV54" s="58">
        <v>12.679691102780978</v>
      </c>
      <c r="BW54" s="58">
        <v>1.9451795273828623</v>
      </c>
      <c r="BX54" s="58">
        <v>2.4528989591173342</v>
      </c>
      <c r="BY54" s="58">
        <v>0.91972588522668275</v>
      </c>
      <c r="BZ54" s="58">
        <v>-1.1405253250943446</v>
      </c>
      <c r="CA54" s="58">
        <v>3.8236182387226165</v>
      </c>
      <c r="CB54" s="58">
        <v>-2.3007292586909216</v>
      </c>
      <c r="CC54" s="58">
        <v>-1.1159963839396596</v>
      </c>
      <c r="CD54" s="58">
        <v>1.5867546828282997</v>
      </c>
      <c r="CE54" s="58">
        <v>0.87028245169203444</v>
      </c>
      <c r="CF54" s="58">
        <v>0.4445372159753731</v>
      </c>
      <c r="CG54" s="58">
        <v>2.9116420823955593</v>
      </c>
      <c r="CH54" s="58">
        <v>1.9101085296984337</v>
      </c>
      <c r="CI54" s="59">
        <v>-1.1615770865012252</v>
      </c>
    </row>
    <row r="55" spans="1:87" ht="14" x14ac:dyDescent="0.2">
      <c r="A55" s="24"/>
      <c r="B55" s="25" t="s">
        <v>32</v>
      </c>
      <c r="C55" s="26" t="s">
        <v>33</v>
      </c>
      <c r="D55" s="65"/>
      <c r="E55" s="65"/>
      <c r="F55" s="65"/>
      <c r="G55" s="65"/>
      <c r="H55" s="61">
        <v>10.29742306302704</v>
      </c>
      <c r="I55" s="61">
        <v>4.0452103082434547</v>
      </c>
      <c r="J55" s="61">
        <v>3.1460764814384561</v>
      </c>
      <c r="K55" s="61">
        <v>8.9095880889402395</v>
      </c>
      <c r="L55" s="61">
        <v>8.5271829863117858</v>
      </c>
      <c r="M55" s="61">
        <v>16.338540699318344</v>
      </c>
      <c r="N55" s="61">
        <v>13.26573373000295</v>
      </c>
      <c r="O55" s="61">
        <v>17.015153433884549</v>
      </c>
      <c r="P55" s="61">
        <v>11.8113868325092</v>
      </c>
      <c r="Q55" s="61">
        <v>6.0444571383968508</v>
      </c>
      <c r="R55" s="61">
        <v>10.56245547412442</v>
      </c>
      <c r="S55" s="61">
        <v>12.004841392746627</v>
      </c>
      <c r="T55" s="61">
        <v>7.1031107438620751</v>
      </c>
      <c r="U55" s="61">
        <v>5.7302031004990965</v>
      </c>
      <c r="V55" s="61">
        <v>4.1240741008275847</v>
      </c>
      <c r="W55" s="61">
        <v>-2.4122503529482913</v>
      </c>
      <c r="X55" s="61">
        <v>-3.0372892993248257</v>
      </c>
      <c r="Y55" s="61">
        <v>5.6264621221241384</v>
      </c>
      <c r="Z55" s="61">
        <v>6.8668203568556123</v>
      </c>
      <c r="AA55" s="61">
        <v>9.4200896860390912</v>
      </c>
      <c r="AB55" s="61">
        <v>13.363779005981982</v>
      </c>
      <c r="AC55" s="61">
        <v>10.930293045515512</v>
      </c>
      <c r="AD55" s="61">
        <v>9.2876489402185172</v>
      </c>
      <c r="AE55" s="61">
        <v>10.373924412255491</v>
      </c>
      <c r="AF55" s="61">
        <v>8.6657460842970693</v>
      </c>
      <c r="AG55" s="61">
        <v>9.3416480630111636</v>
      </c>
      <c r="AH55" s="61">
        <v>6.8832502908731357</v>
      </c>
      <c r="AI55" s="61">
        <v>5.5460407670345262</v>
      </c>
      <c r="AJ55" s="61">
        <v>9.8921829524722256</v>
      </c>
      <c r="AK55" s="61">
        <v>8.7012090219370748</v>
      </c>
      <c r="AL55" s="61">
        <v>7.4459995276324094</v>
      </c>
      <c r="AM55" s="61">
        <v>11.920377790038046</v>
      </c>
      <c r="AN55" s="61">
        <v>9.2053253265726056</v>
      </c>
      <c r="AO55" s="61">
        <v>10.360217530704304</v>
      </c>
      <c r="AP55" s="61">
        <v>13.522822651732696</v>
      </c>
      <c r="AQ55" s="61">
        <v>7.9893137338090412</v>
      </c>
      <c r="AR55" s="61">
        <v>11.029793971512873</v>
      </c>
      <c r="AS55" s="61">
        <v>8.7633936157349694</v>
      </c>
      <c r="AT55" s="61">
        <v>8.4419407534839905</v>
      </c>
      <c r="AU55" s="61">
        <v>3.8366601991225906</v>
      </c>
      <c r="AV55" s="61">
        <v>2.2769985066052953</v>
      </c>
      <c r="AW55" s="61">
        <v>1.4443835554529585</v>
      </c>
      <c r="AX55" s="61">
        <v>2.3631267271912577</v>
      </c>
      <c r="AY55" s="61">
        <v>5.7886497375989876</v>
      </c>
      <c r="AZ55" s="61">
        <v>2.3814009200924318</v>
      </c>
      <c r="BA55" s="61">
        <v>7.3654209899263208</v>
      </c>
      <c r="BB55" s="61">
        <v>4.5061382431233312</v>
      </c>
      <c r="BC55" s="61">
        <v>7.2772086617972178</v>
      </c>
      <c r="BD55" s="61">
        <v>3.6401708798606194</v>
      </c>
      <c r="BE55" s="61">
        <v>4.2308700464561184</v>
      </c>
      <c r="BF55" s="61">
        <v>4.5074955201341709</v>
      </c>
      <c r="BG55" s="61">
        <v>2.6138708377533959</v>
      </c>
      <c r="BH55" s="61">
        <v>6.7349646495966624</v>
      </c>
      <c r="BI55" s="61">
        <v>5.0069507964888089</v>
      </c>
      <c r="BJ55" s="61">
        <v>8.514690136431085</v>
      </c>
      <c r="BK55" s="61">
        <v>4.8835472469335599</v>
      </c>
      <c r="BL55" s="61">
        <v>2.3671004768540911</v>
      </c>
      <c r="BM55" s="61">
        <v>1.2198241232358953</v>
      </c>
      <c r="BN55" s="61">
        <v>2.1148808238465904</v>
      </c>
      <c r="BO55" s="61">
        <v>3.2187133886700394</v>
      </c>
      <c r="BP55" s="61">
        <v>5.0302885543769946</v>
      </c>
      <c r="BQ55" s="61">
        <v>3.3179861568594049</v>
      </c>
      <c r="BR55" s="61">
        <v>2.2446392742186561</v>
      </c>
      <c r="BS55" s="61">
        <v>4.2471312777385322</v>
      </c>
      <c r="BT55" s="62">
        <v>-3.1372439233428508</v>
      </c>
      <c r="BU55" s="62">
        <v>11.387928561819805</v>
      </c>
      <c r="BV55" s="62">
        <v>9.5112521921024893</v>
      </c>
      <c r="BW55" s="62">
        <v>8.8039270636741946</v>
      </c>
      <c r="BX55" s="62">
        <v>23.861234991026407</v>
      </c>
      <c r="BY55" s="62">
        <v>4.7637153501135288</v>
      </c>
      <c r="BZ55" s="62">
        <v>2.5356504704189291</v>
      </c>
      <c r="CA55" s="62">
        <v>6.5845579033881734</v>
      </c>
      <c r="CB55" s="62">
        <v>-2.1994073118925144</v>
      </c>
      <c r="CC55" s="62">
        <v>2.1826010591548481</v>
      </c>
      <c r="CD55" s="62">
        <v>5.04713778738342</v>
      </c>
      <c r="CE55" s="62">
        <v>-0.49098990977843471</v>
      </c>
      <c r="CF55" s="62">
        <v>3.2794044477288224</v>
      </c>
      <c r="CG55" s="62">
        <v>2.8022608820537585</v>
      </c>
      <c r="CH55" s="62">
        <v>4.3523118845104136</v>
      </c>
      <c r="CI55" s="63">
        <v>0.65252778817898616</v>
      </c>
    </row>
    <row r="56" spans="1:87" ht="14" x14ac:dyDescent="0.2">
      <c r="A56" s="29"/>
      <c r="B56" s="20" t="s">
        <v>34</v>
      </c>
      <c r="C56" s="21" t="s">
        <v>35</v>
      </c>
      <c r="D56" s="64"/>
      <c r="E56" s="64"/>
      <c r="F56" s="64"/>
      <c r="G56" s="64"/>
      <c r="H56" s="57">
        <v>3.4946504686000708</v>
      </c>
      <c r="I56" s="57">
        <v>3.847031155479911</v>
      </c>
      <c r="J56" s="57">
        <v>4.3708138681646744</v>
      </c>
      <c r="K56" s="57">
        <v>4.4537816510243715</v>
      </c>
      <c r="L56" s="57">
        <v>4.2477525990479279</v>
      </c>
      <c r="M56" s="57">
        <v>3.9267862638599667</v>
      </c>
      <c r="N56" s="57">
        <v>3.572627372299479</v>
      </c>
      <c r="O56" s="57">
        <v>3.2730176612194839</v>
      </c>
      <c r="P56" s="57">
        <v>2.5860564504445449</v>
      </c>
      <c r="Q56" s="57">
        <v>2.6846235538269667</v>
      </c>
      <c r="R56" s="57">
        <v>2.8391992692061478</v>
      </c>
      <c r="S56" s="57">
        <v>2.9932599059618497</v>
      </c>
      <c r="T56" s="57">
        <v>3.6545856531045473</v>
      </c>
      <c r="U56" s="57">
        <v>3.7935056972269336</v>
      </c>
      <c r="V56" s="57">
        <v>3.8369354005009342</v>
      </c>
      <c r="W56" s="57">
        <v>4.0324830580838977</v>
      </c>
      <c r="X56" s="57">
        <v>3.872586972384056</v>
      </c>
      <c r="Y56" s="57">
        <v>3.6557623632712364</v>
      </c>
      <c r="Z56" s="57">
        <v>3.6006697918218578</v>
      </c>
      <c r="AA56" s="57">
        <v>3.1649644828717811</v>
      </c>
      <c r="AB56" s="57">
        <v>2.8861808152904018</v>
      </c>
      <c r="AC56" s="57">
        <v>2.7695880579135235</v>
      </c>
      <c r="AD56" s="57">
        <v>2.7104034089016551</v>
      </c>
      <c r="AE56" s="57">
        <v>2.9525606446407551</v>
      </c>
      <c r="AF56" s="57">
        <v>3.0299187450930845</v>
      </c>
      <c r="AG56" s="57">
        <v>3.1067398697741169</v>
      </c>
      <c r="AH56" s="57">
        <v>3.290306123198917</v>
      </c>
      <c r="AI56" s="57">
        <v>3.2326074254885668</v>
      </c>
      <c r="AJ56" s="57">
        <v>3.1916154758313979</v>
      </c>
      <c r="AK56" s="57">
        <v>3.308049166851788</v>
      </c>
      <c r="AL56" s="57">
        <v>3.1528223626314116</v>
      </c>
      <c r="AM56" s="57">
        <v>3.2200901535569102</v>
      </c>
      <c r="AN56" s="57">
        <v>3.2358825848721295</v>
      </c>
      <c r="AO56" s="57">
        <v>3.038190685820922</v>
      </c>
      <c r="AP56" s="57">
        <v>3.0933460853074735</v>
      </c>
      <c r="AQ56" s="57">
        <v>3.0630603516508899</v>
      </c>
      <c r="AR56" s="57">
        <v>2.9765503625646943</v>
      </c>
      <c r="AS56" s="57">
        <v>3.0732202701644553</v>
      </c>
      <c r="AT56" s="57">
        <v>3.1215217702525564</v>
      </c>
      <c r="AU56" s="57">
        <v>3.5939805732180048</v>
      </c>
      <c r="AV56" s="57">
        <v>3.4113425585397152</v>
      </c>
      <c r="AW56" s="57">
        <v>3.7893456350487611</v>
      </c>
      <c r="AX56" s="57">
        <v>3.6242460525814266</v>
      </c>
      <c r="AY56" s="57">
        <v>3.294663327664523</v>
      </c>
      <c r="AZ56" s="57">
        <v>3.2517122593183956</v>
      </c>
      <c r="BA56" s="57">
        <v>2.816762260895203</v>
      </c>
      <c r="BB56" s="57">
        <v>2.9397771961957346</v>
      </c>
      <c r="BC56" s="57">
        <v>3.1984627969341375</v>
      </c>
      <c r="BD56" s="57">
        <v>3.3091180788095187</v>
      </c>
      <c r="BE56" s="57">
        <v>3.9243219407431269</v>
      </c>
      <c r="BF56" s="57">
        <v>4.4491935001275067</v>
      </c>
      <c r="BG56" s="57">
        <v>4.1639416607128936</v>
      </c>
      <c r="BH56" s="57">
        <v>4.3743504292652204</v>
      </c>
      <c r="BI56" s="57">
        <v>3.7465847403172319</v>
      </c>
      <c r="BJ56" s="57">
        <v>2.8257117033575696</v>
      </c>
      <c r="BK56" s="57">
        <v>2.0965019199472295</v>
      </c>
      <c r="BL56" s="57">
        <v>1.9758704899447253</v>
      </c>
      <c r="BM56" s="57">
        <v>0.66354067297314145</v>
      </c>
      <c r="BN56" s="57">
        <v>1.3589642410684917</v>
      </c>
      <c r="BO56" s="57">
        <v>1.7750534255390562</v>
      </c>
      <c r="BP56" s="57">
        <v>1.9144201025981431</v>
      </c>
      <c r="BQ56" s="57">
        <v>3.22648198373669</v>
      </c>
      <c r="BR56" s="57">
        <v>2.5525897853769379</v>
      </c>
      <c r="BS56" s="57">
        <v>2.2986776621008858</v>
      </c>
      <c r="BT56" s="58">
        <v>2.2835024194677374</v>
      </c>
      <c r="BU56" s="58">
        <v>2.0708711336139487</v>
      </c>
      <c r="BV56" s="58">
        <v>2.0702726055806551</v>
      </c>
      <c r="BW56" s="58">
        <v>1.7596170733479681</v>
      </c>
      <c r="BX56" s="58">
        <v>1.8035732784847056</v>
      </c>
      <c r="BY56" s="58">
        <v>1.7978830728456927</v>
      </c>
      <c r="BZ56" s="58">
        <v>1.7539460465576724</v>
      </c>
      <c r="CA56" s="58">
        <v>2.0447567907315261</v>
      </c>
      <c r="CB56" s="58">
        <v>2.0838669860865622</v>
      </c>
      <c r="CC56" s="58">
        <v>2.2729472641079838</v>
      </c>
      <c r="CD56" s="58">
        <v>2.2171779099415545</v>
      </c>
      <c r="CE56" s="58">
        <v>2.2612156789438416</v>
      </c>
      <c r="CF56" s="58">
        <v>1.9919740244172885</v>
      </c>
      <c r="CG56" s="58">
        <v>1.9845002660251225</v>
      </c>
      <c r="CH56" s="58">
        <v>2.0595561385473076</v>
      </c>
      <c r="CI56" s="59">
        <v>1.8984764920285642</v>
      </c>
    </row>
    <row r="57" spans="1:87" ht="14" x14ac:dyDescent="0.2">
      <c r="A57" s="31"/>
      <c r="B57" s="25" t="s">
        <v>36</v>
      </c>
      <c r="C57" s="26" t="s">
        <v>37</v>
      </c>
      <c r="D57" s="66"/>
      <c r="E57" s="66"/>
      <c r="F57" s="66"/>
      <c r="G57" s="66"/>
      <c r="H57" s="61">
        <v>7.1089389422606502</v>
      </c>
      <c r="I57" s="61">
        <v>6.7510811210508734</v>
      </c>
      <c r="J57" s="61">
        <v>7.4295577093117515</v>
      </c>
      <c r="K57" s="61">
        <v>6.8556500091886221</v>
      </c>
      <c r="L57" s="61">
        <v>7.0200382222870701</v>
      </c>
      <c r="M57" s="61">
        <v>6.6204856987305902</v>
      </c>
      <c r="N57" s="61">
        <v>7.4008097887016788</v>
      </c>
      <c r="O57" s="61">
        <v>6.517350255883116</v>
      </c>
      <c r="P57" s="61">
        <v>4.8990959265152298</v>
      </c>
      <c r="Q57" s="61">
        <v>3.9978019191906071</v>
      </c>
      <c r="R57" s="61">
        <v>2.9844129460744711</v>
      </c>
      <c r="S57" s="61">
        <v>3.3205800937021763</v>
      </c>
      <c r="T57" s="61">
        <v>2.6902998264425975</v>
      </c>
      <c r="U57" s="61">
        <v>3.8545982980521103</v>
      </c>
      <c r="V57" s="61">
        <v>2.9074265288581529</v>
      </c>
      <c r="W57" s="61">
        <v>1.8889689938441876</v>
      </c>
      <c r="X57" s="61">
        <v>2.2898055953702254</v>
      </c>
      <c r="Y57" s="61">
        <v>2.6063022334049464</v>
      </c>
      <c r="Z57" s="61">
        <v>2.9112960308286659</v>
      </c>
      <c r="AA57" s="61">
        <v>4.3266753661939958</v>
      </c>
      <c r="AB57" s="61">
        <v>5.7619351296590509</v>
      </c>
      <c r="AC57" s="61">
        <v>6.2633822103056929</v>
      </c>
      <c r="AD57" s="61">
        <v>7.8833625813023787</v>
      </c>
      <c r="AE57" s="61">
        <v>8.2033687454902093</v>
      </c>
      <c r="AF57" s="61">
        <v>6.1491190741975288</v>
      </c>
      <c r="AG57" s="61">
        <v>5.3719577893788824</v>
      </c>
      <c r="AH57" s="61">
        <v>3.9931291032830813</v>
      </c>
      <c r="AI57" s="61">
        <v>3.9761481099903193</v>
      </c>
      <c r="AJ57" s="61">
        <v>2.8928995826048549</v>
      </c>
      <c r="AK57" s="61">
        <v>4.5419591182107979</v>
      </c>
      <c r="AL57" s="61">
        <v>5.9002756838914223</v>
      </c>
      <c r="AM57" s="61">
        <v>7.3492258897388467</v>
      </c>
      <c r="AN57" s="61">
        <v>8.72379507726626</v>
      </c>
      <c r="AO57" s="61">
        <v>8.1186573574619842</v>
      </c>
      <c r="AP57" s="61">
        <v>7.1773536304604875</v>
      </c>
      <c r="AQ57" s="61">
        <v>5.5485240498791057</v>
      </c>
      <c r="AR57" s="61">
        <v>2.0377799029744921</v>
      </c>
      <c r="AS57" s="61">
        <v>0.19809750006194804</v>
      </c>
      <c r="AT57" s="61">
        <v>1.0203193200291452</v>
      </c>
      <c r="AU57" s="61">
        <v>-3.4137617727756862</v>
      </c>
      <c r="AV57" s="61">
        <v>-3.0933399739173808</v>
      </c>
      <c r="AW57" s="61">
        <v>-2.2930296163786892</v>
      </c>
      <c r="AX57" s="61">
        <v>-3.565428474174837</v>
      </c>
      <c r="AY57" s="61">
        <v>-0.94611330251423453</v>
      </c>
      <c r="AZ57" s="61">
        <v>0.27015068866691649</v>
      </c>
      <c r="BA57" s="61">
        <v>1.7463414428310955</v>
      </c>
      <c r="BB57" s="61">
        <v>2.0896822400981563</v>
      </c>
      <c r="BC57" s="61">
        <v>1.6442594521577547</v>
      </c>
      <c r="BD57" s="61">
        <v>3.3595173765837814</v>
      </c>
      <c r="BE57" s="61">
        <v>4.2989903892079724</v>
      </c>
      <c r="BF57" s="61">
        <v>4.1142418570003372</v>
      </c>
      <c r="BG57" s="61">
        <v>4.0697349818361772</v>
      </c>
      <c r="BH57" s="61">
        <v>3.9295291606677978</v>
      </c>
      <c r="BI57" s="61">
        <v>4.0816786021640183</v>
      </c>
      <c r="BJ57" s="61">
        <v>3.6425326453945814</v>
      </c>
      <c r="BK57" s="61">
        <v>2.3114099841464082</v>
      </c>
      <c r="BL57" s="61">
        <v>1.2029102929265463</v>
      </c>
      <c r="BM57" s="61">
        <v>-12.462122204951726</v>
      </c>
      <c r="BN57" s="61">
        <v>-8.18984086481818</v>
      </c>
      <c r="BO57" s="61">
        <v>-3.5818852471254843</v>
      </c>
      <c r="BP57" s="61">
        <v>1.0807251743163704</v>
      </c>
      <c r="BQ57" s="61">
        <v>14.271118827816281</v>
      </c>
      <c r="BR57" s="61">
        <v>12.973096119970748</v>
      </c>
      <c r="BS57" s="61">
        <v>10.951833279534796</v>
      </c>
      <c r="BT57" s="62">
        <v>8.6057534475279027</v>
      </c>
      <c r="BU57" s="62">
        <v>12.994517292418891</v>
      </c>
      <c r="BV57" s="62">
        <v>7.2115210093148363</v>
      </c>
      <c r="BW57" s="62">
        <v>3.5414087613430354</v>
      </c>
      <c r="BX57" s="62">
        <v>3.4422297830343922</v>
      </c>
      <c r="BY57" s="62">
        <v>1.4367389793531657</v>
      </c>
      <c r="BZ57" s="62">
        <v>1.0583853324213806</v>
      </c>
      <c r="CA57" s="62">
        <v>1.8354786368717413</v>
      </c>
      <c r="CB57" s="62">
        <v>-0.41466837791533351</v>
      </c>
      <c r="CC57" s="62">
        <v>-0.37821754648508943</v>
      </c>
      <c r="CD57" s="62">
        <v>-0.49412806129036824</v>
      </c>
      <c r="CE57" s="62">
        <v>-0.39194967520708701</v>
      </c>
      <c r="CF57" s="62">
        <v>1.1671912355073317</v>
      </c>
      <c r="CG57" s="62">
        <v>1.5592351493754393</v>
      </c>
      <c r="CH57" s="62">
        <v>1.1669242168126175</v>
      </c>
      <c r="CI57" s="63">
        <v>1.4528823168684823</v>
      </c>
    </row>
    <row r="58" spans="1:87" ht="28" x14ac:dyDescent="0.2">
      <c r="A58" s="32"/>
      <c r="B58" s="20" t="s">
        <v>38</v>
      </c>
      <c r="C58" s="21" t="s">
        <v>39</v>
      </c>
      <c r="D58" s="67"/>
      <c r="E58" s="67"/>
      <c r="F58" s="67"/>
      <c r="G58" s="67"/>
      <c r="H58" s="57">
        <v>3.6884002438829668</v>
      </c>
      <c r="I58" s="57">
        <v>3.2601332956712241</v>
      </c>
      <c r="J58" s="57">
        <v>5.0397220111638461</v>
      </c>
      <c r="K58" s="57">
        <v>6.2756269622562684</v>
      </c>
      <c r="L58" s="57">
        <v>3.4305123739886341</v>
      </c>
      <c r="M58" s="57">
        <v>3.7336497326992344</v>
      </c>
      <c r="N58" s="57">
        <v>4.6516959611232238</v>
      </c>
      <c r="O58" s="57">
        <v>4.4693352778238733</v>
      </c>
      <c r="P58" s="57">
        <v>3.8501328830136998</v>
      </c>
      <c r="Q58" s="57">
        <v>4.0925854994309674</v>
      </c>
      <c r="R58" s="57">
        <v>0.81546082712114298</v>
      </c>
      <c r="S58" s="57">
        <v>0.14328685747548775</v>
      </c>
      <c r="T58" s="57">
        <v>1.4916597883209022</v>
      </c>
      <c r="U58" s="57">
        <v>2.5869908416139396</v>
      </c>
      <c r="V58" s="57">
        <v>3.9060844222227615</v>
      </c>
      <c r="W58" s="57">
        <v>4.089533889578135</v>
      </c>
      <c r="X58" s="57">
        <v>5.0258205250087258</v>
      </c>
      <c r="Y58" s="57">
        <v>4.4809305239009092</v>
      </c>
      <c r="Z58" s="57">
        <v>3.5089016705367868</v>
      </c>
      <c r="AA58" s="57">
        <v>5.4390627691743703</v>
      </c>
      <c r="AB58" s="57">
        <v>5.7421810019525878</v>
      </c>
      <c r="AC58" s="57">
        <v>5.1073736307265563</v>
      </c>
      <c r="AD58" s="57">
        <v>5.6766869370320023</v>
      </c>
      <c r="AE58" s="57">
        <v>6.357583325277318</v>
      </c>
      <c r="AF58" s="57">
        <v>5.051624854005766</v>
      </c>
      <c r="AG58" s="57">
        <v>5.4914808200294374</v>
      </c>
      <c r="AH58" s="57">
        <v>6.0084433711865159</v>
      </c>
      <c r="AI58" s="57">
        <v>5.663991313224841</v>
      </c>
      <c r="AJ58" s="57">
        <v>3.9258644155421507</v>
      </c>
      <c r="AK58" s="57">
        <v>6.24432252253429</v>
      </c>
      <c r="AL58" s="57">
        <v>5.9450228007812456</v>
      </c>
      <c r="AM58" s="57">
        <v>5.8572088908950661</v>
      </c>
      <c r="AN58" s="57">
        <v>6.6419332464268592</v>
      </c>
      <c r="AO58" s="57">
        <v>4.3931840189329563</v>
      </c>
      <c r="AP58" s="57">
        <v>5.9004671108064031</v>
      </c>
      <c r="AQ58" s="57">
        <v>6.3736789106216776</v>
      </c>
      <c r="AR58" s="57">
        <v>5.9336126605919333</v>
      </c>
      <c r="AS58" s="57">
        <v>7.6035799355244933</v>
      </c>
      <c r="AT58" s="57">
        <v>9.9809349958314328</v>
      </c>
      <c r="AU58" s="57">
        <v>-1.1910574046295892</v>
      </c>
      <c r="AV58" s="57">
        <v>1.8565461845799973</v>
      </c>
      <c r="AW58" s="57">
        <v>4.6028711640626625</v>
      </c>
      <c r="AX58" s="57">
        <v>0.78668939393678272</v>
      </c>
      <c r="AY58" s="57">
        <v>7.3051436436771553</v>
      </c>
      <c r="AZ58" s="57">
        <v>3.2077996575060155</v>
      </c>
      <c r="BA58" s="57">
        <v>3.5725308614638465</v>
      </c>
      <c r="BB58" s="57">
        <v>3.1663326257789635</v>
      </c>
      <c r="BC58" s="57">
        <v>3.8576965844402622</v>
      </c>
      <c r="BD58" s="57">
        <v>3.9933331285980813</v>
      </c>
      <c r="BE58" s="57">
        <v>5.334418040214544</v>
      </c>
      <c r="BF58" s="57">
        <v>4.8537824879986147</v>
      </c>
      <c r="BG58" s="57">
        <v>4.7327080036118332</v>
      </c>
      <c r="BH58" s="57">
        <v>4.7735893507228582</v>
      </c>
      <c r="BI58" s="57">
        <v>5.5759430755057906</v>
      </c>
      <c r="BJ58" s="57">
        <v>5.3783576001480355</v>
      </c>
      <c r="BK58" s="57">
        <v>4.6829292084086092</v>
      </c>
      <c r="BL58" s="57">
        <v>1.1326757652199575</v>
      </c>
      <c r="BM58" s="57">
        <v>-2.4691086482186932</v>
      </c>
      <c r="BN58" s="57">
        <v>-1.8137468112370101</v>
      </c>
      <c r="BO58" s="57">
        <v>4.0742193616034825</v>
      </c>
      <c r="BP58" s="57">
        <v>6.8389475837746971</v>
      </c>
      <c r="BQ58" s="57">
        <v>10.265298455176634</v>
      </c>
      <c r="BR58" s="57">
        <v>10.538598602452055</v>
      </c>
      <c r="BS58" s="57">
        <v>6.4762015086466249</v>
      </c>
      <c r="BT58" s="58">
        <v>3.4447725743428776</v>
      </c>
      <c r="BU58" s="58">
        <v>5.6212899638901348</v>
      </c>
      <c r="BV58" s="58">
        <v>-1.0936767634167239</v>
      </c>
      <c r="BW58" s="58">
        <v>-2.7822126342024234</v>
      </c>
      <c r="BX58" s="58">
        <v>0.43990745266751219</v>
      </c>
      <c r="BY58" s="58">
        <v>4.8960760305452737</v>
      </c>
      <c r="BZ58" s="58">
        <v>7.3223957820398198</v>
      </c>
      <c r="CA58" s="58">
        <v>6.76718453518383</v>
      </c>
      <c r="CB58" s="58">
        <v>5.7805566996148343</v>
      </c>
      <c r="CC58" s="58">
        <v>4.345456878017103</v>
      </c>
      <c r="CD58" s="58">
        <v>1.4918726986623767</v>
      </c>
      <c r="CE58" s="58">
        <v>4.7317650776205937</v>
      </c>
      <c r="CF58" s="58">
        <v>3.6154903816647987</v>
      </c>
      <c r="CG58" s="58">
        <v>1.6548368982802941</v>
      </c>
      <c r="CH58" s="58">
        <v>7.9239354254352321</v>
      </c>
      <c r="CI58" s="59">
        <v>4.8169370716733653</v>
      </c>
    </row>
    <row r="59" spans="1:87" ht="42" x14ac:dyDescent="0.2">
      <c r="A59" s="24"/>
      <c r="B59" s="25" t="s">
        <v>40</v>
      </c>
      <c r="C59" s="26" t="s">
        <v>41</v>
      </c>
      <c r="D59" s="65"/>
      <c r="E59" s="65"/>
      <c r="F59" s="65"/>
      <c r="G59" s="65"/>
      <c r="H59" s="61">
        <v>5.3950415698158025</v>
      </c>
      <c r="I59" s="61">
        <v>6.5709512572163788</v>
      </c>
      <c r="J59" s="61">
        <v>5.1507793205414885</v>
      </c>
      <c r="K59" s="61">
        <v>3.3437779676583403</v>
      </c>
      <c r="L59" s="61">
        <v>5.3579122212326098</v>
      </c>
      <c r="M59" s="61">
        <v>4.4143120505161022</v>
      </c>
      <c r="N59" s="61">
        <v>4.0742914522379436</v>
      </c>
      <c r="O59" s="61">
        <v>7.2492728683325254</v>
      </c>
      <c r="P59" s="61">
        <v>3.861716318553249</v>
      </c>
      <c r="Q59" s="61">
        <v>3.0576034468024176</v>
      </c>
      <c r="R59" s="61">
        <v>3.5983054947273985</v>
      </c>
      <c r="S59" s="61">
        <v>1.5794434963338944</v>
      </c>
      <c r="T59" s="61">
        <v>1.3831429593869728</v>
      </c>
      <c r="U59" s="61">
        <v>2.4397429241966222</v>
      </c>
      <c r="V59" s="61">
        <v>1.9457581710880874</v>
      </c>
      <c r="W59" s="61">
        <v>3.4655611380472067</v>
      </c>
      <c r="X59" s="61">
        <v>3.6782710460439034</v>
      </c>
      <c r="Y59" s="61">
        <v>1.7274688490683587</v>
      </c>
      <c r="Z59" s="61">
        <v>2.6809006413560468</v>
      </c>
      <c r="AA59" s="61">
        <v>1.707535023210454</v>
      </c>
      <c r="AB59" s="61">
        <v>3.7840695961654234</v>
      </c>
      <c r="AC59" s="61">
        <v>6.7872691342891471</v>
      </c>
      <c r="AD59" s="61">
        <v>8.2791453874136067</v>
      </c>
      <c r="AE59" s="61">
        <v>5.4859052010243943</v>
      </c>
      <c r="AF59" s="61">
        <v>3.5398668808629878</v>
      </c>
      <c r="AG59" s="61">
        <v>1.5091133858755654</v>
      </c>
      <c r="AH59" s="61">
        <v>4.7590411108366482</v>
      </c>
      <c r="AI59" s="61">
        <v>2.2525514261498358</v>
      </c>
      <c r="AJ59" s="61">
        <v>5.0357788623797148</v>
      </c>
      <c r="AK59" s="61">
        <v>6.1924565370676561</v>
      </c>
      <c r="AL59" s="61">
        <v>4.2180216719510497</v>
      </c>
      <c r="AM59" s="61">
        <v>9.4242527303300676</v>
      </c>
      <c r="AN59" s="61">
        <v>6.0245813995376807</v>
      </c>
      <c r="AO59" s="61">
        <v>1.1098101463201289</v>
      </c>
      <c r="AP59" s="61">
        <v>2.6295577642921728</v>
      </c>
      <c r="AQ59" s="61">
        <v>1.5425688253858993</v>
      </c>
      <c r="AR59" s="61">
        <v>2.1817329739851345</v>
      </c>
      <c r="AS59" s="61">
        <v>4.7370874415139781</v>
      </c>
      <c r="AT59" s="61">
        <v>4.2447382263889324</v>
      </c>
      <c r="AU59" s="61">
        <v>5.6866587688363808</v>
      </c>
      <c r="AV59" s="61">
        <v>5.9962699879561967</v>
      </c>
      <c r="AW59" s="61">
        <v>6.8704084944054102</v>
      </c>
      <c r="AX59" s="61">
        <v>5.3418509149576749</v>
      </c>
      <c r="AY59" s="61">
        <v>4.1563323544583568</v>
      </c>
      <c r="AZ59" s="61">
        <v>2.9706213959353391</v>
      </c>
      <c r="BA59" s="61">
        <v>1.8596972117960178</v>
      </c>
      <c r="BB59" s="61">
        <v>1.6403386222204404</v>
      </c>
      <c r="BC59" s="61">
        <v>1.9948934713415838</v>
      </c>
      <c r="BD59" s="61">
        <v>-2.4420251389980336</v>
      </c>
      <c r="BE59" s="61">
        <v>2.2776525336341251</v>
      </c>
      <c r="BF59" s="61">
        <v>2.2732047131190996</v>
      </c>
      <c r="BG59" s="61">
        <v>6.6571251225129089</v>
      </c>
      <c r="BH59" s="61">
        <v>12.362024951213385</v>
      </c>
      <c r="BI59" s="61">
        <v>15.190066554601003</v>
      </c>
      <c r="BJ59" s="61">
        <v>13.254625028993331</v>
      </c>
      <c r="BK59" s="61">
        <v>11.535667991616577</v>
      </c>
      <c r="BL59" s="61">
        <v>3.7705102741406336</v>
      </c>
      <c r="BM59" s="61">
        <v>-33.943471207386224</v>
      </c>
      <c r="BN59" s="61">
        <v>-11.100378995230628</v>
      </c>
      <c r="BO59" s="61">
        <v>-5.7100068314031347</v>
      </c>
      <c r="BP59" s="61">
        <v>9.4581520312966774</v>
      </c>
      <c r="BQ59" s="61">
        <v>76.830872723416377</v>
      </c>
      <c r="BR59" s="61">
        <v>33.814396860217556</v>
      </c>
      <c r="BS59" s="61">
        <v>31.536861832801918</v>
      </c>
      <c r="BT59" s="62">
        <v>30.373448652013423</v>
      </c>
      <c r="BU59" s="62">
        <v>23.812858502544756</v>
      </c>
      <c r="BV59" s="62">
        <v>25.543939514337637</v>
      </c>
      <c r="BW59" s="62">
        <v>32.279035522766236</v>
      </c>
      <c r="BX59" s="62">
        <v>15.137450016538139</v>
      </c>
      <c r="BY59" s="62">
        <v>13.335173100900846</v>
      </c>
      <c r="BZ59" s="62">
        <v>10.55673860317836</v>
      </c>
      <c r="CA59" s="62">
        <v>4.2703231877114547</v>
      </c>
      <c r="CB59" s="62">
        <v>6.1710308507708902</v>
      </c>
      <c r="CC59" s="62">
        <v>10.882485744144319</v>
      </c>
      <c r="CD59" s="62">
        <v>11.445113770852473</v>
      </c>
      <c r="CE59" s="62">
        <v>4.6513317906178457</v>
      </c>
      <c r="CF59" s="62">
        <v>15.581151148150354</v>
      </c>
      <c r="CG59" s="62">
        <v>7.717539118796509</v>
      </c>
      <c r="CH59" s="62">
        <v>5.1847439225677618</v>
      </c>
      <c r="CI59" s="63">
        <v>11.540316055085185</v>
      </c>
    </row>
    <row r="60" spans="1:87" ht="14" x14ac:dyDescent="0.2">
      <c r="A60" s="32" t="s">
        <v>42</v>
      </c>
      <c r="B60" s="33"/>
      <c r="C60" s="34" t="s">
        <v>43</v>
      </c>
      <c r="D60" s="64"/>
      <c r="E60" s="64"/>
      <c r="F60" s="64"/>
      <c r="G60" s="64"/>
      <c r="H60" s="68">
        <v>5.5624400115915904</v>
      </c>
      <c r="I60" s="68">
        <v>4.5999510874915188</v>
      </c>
      <c r="J60" s="68">
        <v>7.4025300152444515</v>
      </c>
      <c r="K60" s="68">
        <v>7.0778811264565746</v>
      </c>
      <c r="L60" s="68">
        <v>6.3374610068785273</v>
      </c>
      <c r="M60" s="68">
        <v>6.6673963975408412</v>
      </c>
      <c r="N60" s="68">
        <v>6.0491405683892481</v>
      </c>
      <c r="O60" s="68">
        <v>6.2073081708369386</v>
      </c>
      <c r="P60" s="68">
        <v>4.7617094047030122</v>
      </c>
      <c r="Q60" s="68">
        <v>4.5599537845278633</v>
      </c>
      <c r="R60" s="68">
        <v>3.3049027936840076</v>
      </c>
      <c r="S60" s="68">
        <v>0.13901580079016185</v>
      </c>
      <c r="T60" s="68">
        <v>0.17553246089238428</v>
      </c>
      <c r="U60" s="68">
        <v>0.95341135095942775</v>
      </c>
      <c r="V60" s="68">
        <v>1.0458323368120119</v>
      </c>
      <c r="W60" s="68">
        <v>3.3316510661797594</v>
      </c>
      <c r="X60" s="68">
        <v>4.0015153314987799</v>
      </c>
      <c r="Y60" s="68">
        <v>4.5037416899537277</v>
      </c>
      <c r="Z60" s="68">
        <v>3.6823803398277732</v>
      </c>
      <c r="AA60" s="68">
        <v>5.088073796529585</v>
      </c>
      <c r="AB60" s="68">
        <v>6.5291046991698494</v>
      </c>
      <c r="AC60" s="68">
        <v>6.4312732403822395</v>
      </c>
      <c r="AD60" s="68">
        <v>7.5723917817142876</v>
      </c>
      <c r="AE60" s="68">
        <v>5.9695335372061464</v>
      </c>
      <c r="AF60" s="68">
        <v>5.9927529623075202</v>
      </c>
      <c r="AG60" s="68">
        <v>4.866206986061087</v>
      </c>
      <c r="AH60" s="68">
        <v>2.1976062021991112</v>
      </c>
      <c r="AI60" s="68">
        <v>2.6315112760716914</v>
      </c>
      <c r="AJ60" s="68">
        <v>2.4224930867963224</v>
      </c>
      <c r="AK60" s="68">
        <v>5.5415459701257106</v>
      </c>
      <c r="AL60" s="68">
        <v>6.5507442142549479</v>
      </c>
      <c r="AM60" s="68">
        <v>6.5543448369748631</v>
      </c>
      <c r="AN60" s="68">
        <v>6.654792705600741</v>
      </c>
      <c r="AO60" s="68">
        <v>3.224472964529383</v>
      </c>
      <c r="AP60" s="68">
        <v>4.232058628400722</v>
      </c>
      <c r="AQ60" s="68">
        <v>3.6940997394043364</v>
      </c>
      <c r="AR60" s="68">
        <v>2.8354347372626023</v>
      </c>
      <c r="AS60" s="68">
        <v>3.6799765365012433</v>
      </c>
      <c r="AT60" s="68">
        <v>3.7075565805742912</v>
      </c>
      <c r="AU60" s="68">
        <v>2.1470567727278791</v>
      </c>
      <c r="AV60" s="68">
        <v>2.468656737272994</v>
      </c>
      <c r="AW60" s="68">
        <v>2.338628661531672</v>
      </c>
      <c r="AX60" s="68">
        <v>1.3742068166893091</v>
      </c>
      <c r="AY60" s="68">
        <v>2.5820007722810772</v>
      </c>
      <c r="AZ60" s="68">
        <v>1.1868087434819756</v>
      </c>
      <c r="BA60" s="68">
        <v>1.323538516680685</v>
      </c>
      <c r="BB60" s="68">
        <v>1.7210255252916795</v>
      </c>
      <c r="BC60" s="68">
        <v>1.30151026532603</v>
      </c>
      <c r="BD60" s="68">
        <v>1.5856200401360212</v>
      </c>
      <c r="BE60" s="68">
        <v>2.6366719684479278</v>
      </c>
      <c r="BF60" s="68">
        <v>2.8576251990930501</v>
      </c>
      <c r="BG60" s="68">
        <v>2.9100356619058658</v>
      </c>
      <c r="BH60" s="68">
        <v>3.5038833218915926</v>
      </c>
      <c r="BI60" s="68">
        <v>3.0233861469493206</v>
      </c>
      <c r="BJ60" s="68">
        <v>2.9393139031303122</v>
      </c>
      <c r="BK60" s="68">
        <v>2.8455036894264936</v>
      </c>
      <c r="BL60" s="68">
        <v>0.12912182121689852</v>
      </c>
      <c r="BM60" s="68">
        <v>-16.664872074147453</v>
      </c>
      <c r="BN60" s="68">
        <v>-9.1858121926041179</v>
      </c>
      <c r="BO60" s="68">
        <v>-3.4645159184325394</v>
      </c>
      <c r="BP60" s="68">
        <v>1.3973481371819503</v>
      </c>
      <c r="BQ60" s="68">
        <v>17.804002293333582</v>
      </c>
      <c r="BR60" s="68">
        <v>12.779756969381566</v>
      </c>
      <c r="BS60" s="68">
        <v>10.344563395203338</v>
      </c>
      <c r="BT60" s="69">
        <v>7.2186327801186962</v>
      </c>
      <c r="BU60" s="69">
        <v>11.541569894432598</v>
      </c>
      <c r="BV60" s="69">
        <v>6.2838457730880322</v>
      </c>
      <c r="BW60" s="69">
        <v>1.4854117778519083</v>
      </c>
      <c r="BX60" s="69">
        <v>2.6797541905934565</v>
      </c>
      <c r="BY60" s="69">
        <v>0.6797240889496976</v>
      </c>
      <c r="BZ60" s="69">
        <v>0.25186038568898539</v>
      </c>
      <c r="CA60" s="69">
        <v>1.3451667843783213</v>
      </c>
      <c r="CB60" s="69">
        <v>0.58724509828761029</v>
      </c>
      <c r="CC60" s="69">
        <v>1.8309202988434805</v>
      </c>
      <c r="CD60" s="69">
        <v>1.6252116996409001</v>
      </c>
      <c r="CE60" s="69">
        <v>2.2865980636496204</v>
      </c>
      <c r="CF60" s="69">
        <v>2.6321967010263876</v>
      </c>
      <c r="CG60" s="69">
        <v>2.0743304047177133</v>
      </c>
      <c r="CH60" s="69">
        <v>3.6874761511252956</v>
      </c>
      <c r="CI60" s="70">
        <v>2.2546402428896641</v>
      </c>
    </row>
    <row r="61" spans="1:87" ht="14" x14ac:dyDescent="0.2">
      <c r="A61" s="24" t="s">
        <v>44</v>
      </c>
      <c r="B61" s="39"/>
      <c r="C61" s="26" t="s">
        <v>45</v>
      </c>
      <c r="D61" s="60"/>
      <c r="E61" s="60"/>
      <c r="F61" s="60"/>
      <c r="G61" s="60"/>
      <c r="H61" s="61">
        <v>15.194095165562899</v>
      </c>
      <c r="I61" s="61">
        <v>12.666488602446478</v>
      </c>
      <c r="J61" s="61">
        <v>10.132189622275334</v>
      </c>
      <c r="K61" s="61">
        <v>10.534993826865403</v>
      </c>
      <c r="L61" s="61">
        <v>10.470310834763907</v>
      </c>
      <c r="M61" s="61">
        <v>8.7485002017688913</v>
      </c>
      <c r="N61" s="61">
        <v>14.76453247952098</v>
      </c>
      <c r="O61" s="61">
        <v>9.7574210500165606</v>
      </c>
      <c r="P61" s="61">
        <v>9.1532671407001658</v>
      </c>
      <c r="Q61" s="61">
        <v>6.9121613871159866</v>
      </c>
      <c r="R61" s="61">
        <v>3.4919036613316905</v>
      </c>
      <c r="S61" s="61">
        <v>1.5945680873969081</v>
      </c>
      <c r="T61" s="61">
        <v>-0.26213163212453594</v>
      </c>
      <c r="U61" s="61">
        <v>-1.9070127724030357</v>
      </c>
      <c r="V61" s="61">
        <v>-4.4810075733088865</v>
      </c>
      <c r="W61" s="61">
        <v>0.18428963433846945</v>
      </c>
      <c r="X61" s="61">
        <v>2.6735919589496575</v>
      </c>
      <c r="Y61" s="61">
        <v>5.9293987317849997</v>
      </c>
      <c r="Z61" s="61">
        <v>7.9555070601535931</v>
      </c>
      <c r="AA61" s="61">
        <v>8.0328507085128251</v>
      </c>
      <c r="AB61" s="61">
        <v>9.6542757688332017</v>
      </c>
      <c r="AC61" s="61">
        <v>10.406412032109685</v>
      </c>
      <c r="AD61" s="61">
        <v>11.425511975355647</v>
      </c>
      <c r="AE61" s="61">
        <v>9.8789093100828325</v>
      </c>
      <c r="AF61" s="61">
        <v>7.5748320661537036</v>
      </c>
      <c r="AG61" s="61">
        <v>4.6485384451926421</v>
      </c>
      <c r="AH61" s="61">
        <v>2.7398393635498621</v>
      </c>
      <c r="AI61" s="61">
        <v>3.329198615990407</v>
      </c>
      <c r="AJ61" s="61">
        <v>1.9280067394823419</v>
      </c>
      <c r="AK61" s="61">
        <v>3.6214422226374552</v>
      </c>
      <c r="AL61" s="61">
        <v>3.2156427832885441</v>
      </c>
      <c r="AM61" s="61">
        <v>4.3612172101095155</v>
      </c>
      <c r="AN61" s="61">
        <v>6.0107080531538912</v>
      </c>
      <c r="AO61" s="61">
        <v>5.5636113033345822</v>
      </c>
      <c r="AP61" s="61">
        <v>6.023627097994023</v>
      </c>
      <c r="AQ61" s="61">
        <v>4.567708128653166</v>
      </c>
      <c r="AR61" s="61">
        <v>2.8181716363605602</v>
      </c>
      <c r="AS61" s="61">
        <v>0.79553419126932567</v>
      </c>
      <c r="AT61" s="61">
        <v>2.2350065734816837</v>
      </c>
      <c r="AU61" s="61">
        <v>1.1324703484552572</v>
      </c>
      <c r="AV61" s="61">
        <v>1.4505670698223838</v>
      </c>
      <c r="AW61" s="61">
        <v>-5.8741202208949517E-3</v>
      </c>
      <c r="AX61" s="61">
        <v>3.428464348047882</v>
      </c>
      <c r="AY61" s="61">
        <v>-0.35809981858804463</v>
      </c>
      <c r="AZ61" s="61">
        <v>-0.14096540553171621</v>
      </c>
      <c r="BA61" s="61">
        <v>0.67313613090320246</v>
      </c>
      <c r="BB61" s="61">
        <v>1.3536803427871575</v>
      </c>
      <c r="BC61" s="61">
        <v>2.3230591670035778</v>
      </c>
      <c r="BD61" s="61">
        <v>2.3253163998431887</v>
      </c>
      <c r="BE61" s="61">
        <v>3.9273358979591961</v>
      </c>
      <c r="BF61" s="61">
        <v>3.1314677115045839</v>
      </c>
      <c r="BG61" s="61">
        <v>2.8418101988820297</v>
      </c>
      <c r="BH61" s="61">
        <v>3.1945520965722665</v>
      </c>
      <c r="BI61" s="61">
        <v>3.586994690864941</v>
      </c>
      <c r="BJ61" s="61">
        <v>4.9862720037720436</v>
      </c>
      <c r="BK61" s="61">
        <v>5.465265359573479</v>
      </c>
      <c r="BL61" s="61">
        <v>2.5022170294774781</v>
      </c>
      <c r="BM61" s="61">
        <v>-17.143343858041021</v>
      </c>
      <c r="BN61" s="61">
        <v>-8.0702998610169345</v>
      </c>
      <c r="BO61" s="61">
        <v>-1.9149341469584726</v>
      </c>
      <c r="BP61" s="61">
        <v>2.469999178147205</v>
      </c>
      <c r="BQ61" s="61">
        <v>24.658735567969231</v>
      </c>
      <c r="BR61" s="61">
        <v>18.870619985871471</v>
      </c>
      <c r="BS61" s="61">
        <v>18.606627895072549</v>
      </c>
      <c r="BT61" s="62">
        <v>17.089036354608524</v>
      </c>
      <c r="BU61" s="62">
        <v>20.681111583162789</v>
      </c>
      <c r="BV61" s="62">
        <v>18.028318451746529</v>
      </c>
      <c r="BW61" s="62">
        <v>9.8691732221631128</v>
      </c>
      <c r="BX61" s="62">
        <v>3.9394114786833256</v>
      </c>
      <c r="BY61" s="62">
        <v>-2.1362986005554632</v>
      </c>
      <c r="BZ61" s="62">
        <v>-6.4853617962752566</v>
      </c>
      <c r="CA61" s="62">
        <v>-4.3870609836440906</v>
      </c>
      <c r="CB61" s="62">
        <v>-2.1660272104710288</v>
      </c>
      <c r="CC61" s="62">
        <v>-0.60364891778324647</v>
      </c>
      <c r="CD61" s="62">
        <v>1.4165113399102722</v>
      </c>
      <c r="CE61" s="62">
        <v>2.9975343235522303</v>
      </c>
      <c r="CF61" s="62">
        <v>2.1824589744524019</v>
      </c>
      <c r="CG61" s="62">
        <v>2.476969466044963</v>
      </c>
      <c r="CH61" s="62">
        <v>2.7369581212525844</v>
      </c>
      <c r="CI61" s="63">
        <v>2.4765272391485098</v>
      </c>
    </row>
    <row r="62" spans="1:87" ht="14" x14ac:dyDescent="0.2">
      <c r="A62" s="40" t="s">
        <v>42</v>
      </c>
      <c r="B62" s="41"/>
      <c r="C62" s="42" t="s">
        <v>46</v>
      </c>
      <c r="D62" s="71"/>
      <c r="E62" s="71"/>
      <c r="F62" s="71"/>
      <c r="G62" s="71"/>
      <c r="H62" s="72">
        <v>6.3755741455926511</v>
      </c>
      <c r="I62" s="72">
        <v>5.3230390498123938</v>
      </c>
      <c r="J62" s="72">
        <v>7.6542650103254743</v>
      </c>
      <c r="K62" s="72">
        <v>7.4020784320535853</v>
      </c>
      <c r="L62" s="72">
        <v>6.7128663746102148</v>
      </c>
      <c r="M62" s="72">
        <v>6.8613055041010682</v>
      </c>
      <c r="N62" s="72">
        <v>6.8544720818307638</v>
      </c>
      <c r="O62" s="72">
        <v>6.5425803059048491</v>
      </c>
      <c r="P62" s="72">
        <v>5.1743786969130383</v>
      </c>
      <c r="Q62" s="72">
        <v>4.7853125708882942</v>
      </c>
      <c r="R62" s="72">
        <v>3.3195886444682401</v>
      </c>
      <c r="S62" s="72">
        <v>0.27975741740149829</v>
      </c>
      <c r="T62" s="72">
        <v>0.14508701496795595</v>
      </c>
      <c r="U62" s="72">
        <v>0.69535102684091044</v>
      </c>
      <c r="V62" s="72">
        <v>0.5323647300171217</v>
      </c>
      <c r="W62" s="72">
        <v>3.0391960253996331</v>
      </c>
      <c r="X62" s="72">
        <v>3.8803501804015781</v>
      </c>
      <c r="Y62" s="72">
        <v>4.6245493552704318</v>
      </c>
      <c r="Z62" s="72">
        <v>4.0474546445724116</v>
      </c>
      <c r="AA62" s="72">
        <v>5.3385254044385135</v>
      </c>
      <c r="AB62" s="72">
        <v>6.7991976972209329</v>
      </c>
      <c r="AC62" s="72">
        <v>6.7825904663660879</v>
      </c>
      <c r="AD62" s="72">
        <v>7.9182778431672602</v>
      </c>
      <c r="AE62" s="72">
        <v>6.3253582607035668</v>
      </c>
      <c r="AF62" s="72">
        <v>6.135156113255988</v>
      </c>
      <c r="AG62" s="72">
        <v>4.8460369739956661</v>
      </c>
      <c r="AH62" s="72">
        <v>2.2472410109099172</v>
      </c>
      <c r="AI62" s="72">
        <v>2.6962516472260631</v>
      </c>
      <c r="AJ62" s="72">
        <v>2.3818401066837254</v>
      </c>
      <c r="AK62" s="72">
        <v>5.3733023972656326</v>
      </c>
      <c r="AL62" s="72">
        <v>6.2485426277500125</v>
      </c>
      <c r="AM62" s="72">
        <v>6.3506629279461322</v>
      </c>
      <c r="AN62" s="72">
        <v>6.6000142839710776</v>
      </c>
      <c r="AO62" s="72">
        <v>3.4253216278082164</v>
      </c>
      <c r="AP62" s="72">
        <v>4.3859521764861427</v>
      </c>
      <c r="AQ62" s="72">
        <v>3.7632113433477201</v>
      </c>
      <c r="AR62" s="72">
        <v>2.828076886173946</v>
      </c>
      <c r="AS62" s="72">
        <v>3.4223327835345714</v>
      </c>
      <c r="AT62" s="72">
        <v>3.5756298307939574</v>
      </c>
      <c r="AU62" s="72">
        <v>2.0599500204304206</v>
      </c>
      <c r="AV62" s="72">
        <v>2.3747843586882027</v>
      </c>
      <c r="AW62" s="72">
        <v>2.1220984991595628</v>
      </c>
      <c r="AX62" s="72">
        <v>1.5566086517763438</v>
      </c>
      <c r="AY62" s="72">
        <v>2.3047005674698084</v>
      </c>
      <c r="AZ62" s="72">
        <v>1.0694631972319826</v>
      </c>
      <c r="BA62" s="72">
        <v>1.2698275694354066</v>
      </c>
      <c r="BB62" s="72">
        <v>1.6900414219209239</v>
      </c>
      <c r="BC62" s="72">
        <v>1.3887830905161138</v>
      </c>
      <c r="BD62" s="72">
        <v>1.6492417488619253</v>
      </c>
      <c r="BE62" s="72">
        <v>2.7484906327465808</v>
      </c>
      <c r="BF62" s="72">
        <v>2.8808027902824023</v>
      </c>
      <c r="BG62" s="72">
        <v>2.9137462071450813</v>
      </c>
      <c r="BH62" s="72">
        <v>3.4755274143507364</v>
      </c>
      <c r="BI62" s="72">
        <v>3.0750980391542697</v>
      </c>
      <c r="BJ62" s="72">
        <v>3.1269436421785173</v>
      </c>
      <c r="BK62" s="72">
        <v>3.0910783324639084</v>
      </c>
      <c r="BL62" s="72">
        <v>0.34608976169481309</v>
      </c>
      <c r="BM62" s="72">
        <v>-16.711006681806069</v>
      </c>
      <c r="BN62" s="72">
        <v>-9.0802619617547009</v>
      </c>
      <c r="BO62" s="72">
        <v>-3.3098451514189833</v>
      </c>
      <c r="BP62" s="72">
        <v>1.4997003938947273</v>
      </c>
      <c r="BQ62" s="72">
        <v>18.422283680751164</v>
      </c>
      <c r="BR62" s="72">
        <v>13.323881690290023</v>
      </c>
      <c r="BS62" s="72">
        <v>11.081377613613384</v>
      </c>
      <c r="BT62" s="73">
        <v>8.1051367162309589</v>
      </c>
      <c r="BU62" s="73">
        <v>12.386056909535085</v>
      </c>
      <c r="BV62" s="73">
        <v>7.4010353147935035</v>
      </c>
      <c r="BW62" s="73">
        <v>2.330790474303825</v>
      </c>
      <c r="BX62" s="73">
        <v>2.8075118927961569</v>
      </c>
      <c r="BY62" s="73">
        <v>0.40576595443431529</v>
      </c>
      <c r="BZ62" s="73">
        <v>-0.44678468326799248</v>
      </c>
      <c r="CA62" s="73">
        <v>0.73162985707475059</v>
      </c>
      <c r="CB62" s="73">
        <v>0.31878092683700743</v>
      </c>
      <c r="CC62" s="73">
        <v>1.5997578512279489</v>
      </c>
      <c r="CD62" s="73">
        <v>1.6057210478165302</v>
      </c>
      <c r="CE62" s="73">
        <v>2.3560545451554447</v>
      </c>
      <c r="CF62" s="73">
        <v>2.5930290378729524</v>
      </c>
      <c r="CG62" s="73">
        <v>2.1174491221797496</v>
      </c>
      <c r="CH62" s="73">
        <v>3.5978601551707357</v>
      </c>
      <c r="CI62" s="74">
        <v>2.2680951451834943</v>
      </c>
    </row>
    <row r="63" spans="1:87" x14ac:dyDescent="0.2">
      <c r="A63" s="16"/>
      <c r="D63" s="1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</row>
    <row r="64" spans="1:87" s="25" customFormat="1" ht="12" customHeight="1" x14ac:dyDescent="0.2">
      <c r="A64" s="46" t="s">
        <v>47</v>
      </c>
      <c r="B64" s="47"/>
      <c r="C64" s="47"/>
      <c r="D64" s="47"/>
      <c r="E64" s="47"/>
      <c r="F64" s="47"/>
      <c r="G64" s="75"/>
    </row>
    <row r="65" spans="1:87" s="25" customFormat="1" ht="12" customHeight="1" x14ac:dyDescent="0.2">
      <c r="A65" s="49" t="s">
        <v>48</v>
      </c>
      <c r="B65" s="50"/>
      <c r="C65" s="50"/>
      <c r="D65" s="50"/>
      <c r="E65" s="50"/>
      <c r="F65" s="50"/>
      <c r="G65" s="76"/>
    </row>
    <row r="66" spans="1:87" s="25" customFormat="1" ht="12" customHeight="1" x14ac:dyDescent="0.2">
      <c r="A66" s="49" t="s">
        <v>49</v>
      </c>
      <c r="B66" s="50"/>
      <c r="C66" s="50"/>
      <c r="D66" s="50"/>
      <c r="E66" s="50"/>
      <c r="F66" s="50"/>
      <c r="G66" s="76"/>
    </row>
    <row r="67" spans="1:87" s="25" customFormat="1" ht="12" customHeight="1" x14ac:dyDescent="0.2">
      <c r="A67" s="52" t="s">
        <v>50</v>
      </c>
      <c r="B67" s="53"/>
      <c r="C67" s="53"/>
      <c r="D67" s="53"/>
      <c r="E67" s="53"/>
      <c r="F67" s="53"/>
      <c r="G67" s="77"/>
    </row>
    <row r="68" spans="1:87" x14ac:dyDescent="0.2"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</row>
    <row r="72" spans="1:87" s="2" customFormat="1" ht="14.25" customHeight="1" x14ac:dyDescent="0.2">
      <c r="A72" s="181" t="s">
        <v>0</v>
      </c>
      <c r="B72" s="181"/>
      <c r="C72" s="181"/>
      <c r="D72" s="181"/>
      <c r="E72" s="181"/>
      <c r="F72" s="181"/>
      <c r="G72" s="181"/>
    </row>
    <row r="73" spans="1:87" s="2" customFormat="1" ht="14.25" customHeight="1" x14ac:dyDescent="0.2">
      <c r="A73" s="181"/>
      <c r="B73" s="181"/>
      <c r="C73" s="181"/>
      <c r="D73" s="181"/>
      <c r="E73" s="181"/>
      <c r="F73" s="181"/>
      <c r="G73" s="181"/>
    </row>
    <row r="74" spans="1:87" s="2" customFormat="1" ht="14" customHeight="1" x14ac:dyDescent="0.2">
      <c r="A74" s="5" t="s">
        <v>54</v>
      </c>
      <c r="B74" s="6"/>
      <c r="C74" s="6"/>
      <c r="D74" s="6"/>
      <c r="E74" s="6"/>
      <c r="F74" s="6"/>
      <c r="G74" s="7"/>
    </row>
    <row r="75" spans="1:87" s="2" customFormat="1" ht="14" customHeight="1" x14ac:dyDescent="0.2">
      <c r="A75" s="5" t="s">
        <v>52</v>
      </c>
      <c r="B75" s="6"/>
      <c r="C75" s="6"/>
      <c r="D75" s="6"/>
      <c r="E75" s="6"/>
      <c r="F75" s="6"/>
      <c r="G75" s="7"/>
    </row>
    <row r="76" spans="1:87" s="2" customFormat="1" ht="15.75" customHeight="1" x14ac:dyDescent="0.2">
      <c r="A76" s="9" t="s">
        <v>55</v>
      </c>
      <c r="B76" s="10"/>
      <c r="C76" s="10"/>
      <c r="D76" s="10"/>
      <c r="E76" s="10"/>
      <c r="F76" s="10"/>
      <c r="G76" s="11"/>
    </row>
    <row r="77" spans="1:87" x14ac:dyDescent="0.2">
      <c r="H77" s="79"/>
      <c r="I77" s="79"/>
      <c r="J77" s="79"/>
      <c r="K77" s="79"/>
    </row>
    <row r="78" spans="1:87" s="13" customFormat="1" ht="37" customHeight="1" x14ac:dyDescent="0.2">
      <c r="A78" s="176" t="s">
        <v>8</v>
      </c>
      <c r="B78" s="178" t="s">
        <v>9</v>
      </c>
      <c r="C78" s="178" t="s">
        <v>10</v>
      </c>
      <c r="D78" s="178"/>
      <c r="E78" s="178"/>
      <c r="F78" s="178"/>
      <c r="G78" s="178"/>
      <c r="H78" s="178">
        <v>2006</v>
      </c>
      <c r="I78" s="178"/>
      <c r="J78" s="178"/>
      <c r="K78" s="178"/>
      <c r="L78" s="178">
        <v>2007</v>
      </c>
      <c r="M78" s="178"/>
      <c r="N78" s="178"/>
      <c r="O78" s="178"/>
      <c r="P78" s="178">
        <v>2008</v>
      </c>
      <c r="Q78" s="178"/>
      <c r="R78" s="178"/>
      <c r="S78" s="178"/>
      <c r="T78" s="178">
        <v>2009</v>
      </c>
      <c r="U78" s="178"/>
      <c r="V78" s="178"/>
      <c r="W78" s="178"/>
      <c r="X78" s="178">
        <v>2010</v>
      </c>
      <c r="Y78" s="178"/>
      <c r="Z78" s="178"/>
      <c r="AA78" s="178"/>
      <c r="AB78" s="178">
        <v>2011</v>
      </c>
      <c r="AC78" s="178"/>
      <c r="AD78" s="178"/>
      <c r="AE78" s="178"/>
      <c r="AF78" s="178">
        <v>2012</v>
      </c>
      <c r="AG78" s="178"/>
      <c r="AH78" s="178"/>
      <c r="AI78" s="178"/>
      <c r="AJ78" s="178">
        <v>2013</v>
      </c>
      <c r="AK78" s="178"/>
      <c r="AL78" s="178"/>
      <c r="AM78" s="178"/>
      <c r="AN78" s="178">
        <v>2014</v>
      </c>
      <c r="AO78" s="178"/>
      <c r="AP78" s="178"/>
      <c r="AQ78" s="178"/>
      <c r="AR78" s="178">
        <v>2015</v>
      </c>
      <c r="AS78" s="178"/>
      <c r="AT78" s="178"/>
      <c r="AU78" s="178"/>
      <c r="AV78" s="178">
        <v>2016</v>
      </c>
      <c r="AW78" s="178"/>
      <c r="AX78" s="178"/>
      <c r="AY78" s="178"/>
      <c r="AZ78" s="178">
        <v>2017</v>
      </c>
      <c r="BA78" s="178"/>
      <c r="BB78" s="178"/>
      <c r="BC78" s="178"/>
      <c r="BD78" s="178">
        <v>2018</v>
      </c>
      <c r="BE78" s="178"/>
      <c r="BF78" s="178"/>
      <c r="BG78" s="178"/>
      <c r="BH78" s="178">
        <v>2019</v>
      </c>
      <c r="BI78" s="178"/>
      <c r="BJ78" s="178"/>
      <c r="BK78" s="178"/>
      <c r="BL78" s="178">
        <v>2020</v>
      </c>
      <c r="BM78" s="178"/>
      <c r="BN78" s="178"/>
      <c r="BO78" s="178"/>
      <c r="BP78" s="178">
        <v>2021</v>
      </c>
      <c r="BQ78" s="178"/>
      <c r="BR78" s="178"/>
      <c r="BS78" s="178"/>
      <c r="BT78" s="178">
        <v>2022</v>
      </c>
      <c r="BU78" s="178"/>
      <c r="BV78" s="178"/>
      <c r="BW78" s="178"/>
      <c r="BX78" s="178">
        <v>2023</v>
      </c>
      <c r="BY78" s="178" t="s">
        <v>11</v>
      </c>
      <c r="BZ78" s="178"/>
      <c r="CA78" s="178"/>
      <c r="CB78" s="178" t="s">
        <v>12</v>
      </c>
      <c r="CC78" s="178" t="s">
        <v>11</v>
      </c>
      <c r="CD78" s="178"/>
      <c r="CE78" s="178"/>
      <c r="CF78" s="178" t="s">
        <v>13</v>
      </c>
      <c r="CG78" s="178" t="s">
        <v>11</v>
      </c>
      <c r="CH78" s="178"/>
      <c r="CI78" s="180"/>
    </row>
    <row r="79" spans="1:87" s="13" customFormat="1" ht="12" customHeight="1" x14ac:dyDescent="0.2">
      <c r="A79" s="177"/>
      <c r="B79" s="179"/>
      <c r="C79" s="179"/>
      <c r="D79" s="14"/>
      <c r="E79" s="14"/>
      <c r="F79" s="14"/>
      <c r="G79" s="14"/>
      <c r="H79" s="14" t="s">
        <v>14</v>
      </c>
      <c r="I79" s="14" t="s">
        <v>15</v>
      </c>
      <c r="J79" s="14" t="s">
        <v>16</v>
      </c>
      <c r="K79" s="14" t="s">
        <v>17</v>
      </c>
      <c r="L79" s="14" t="s">
        <v>14</v>
      </c>
      <c r="M79" s="14" t="s">
        <v>15</v>
      </c>
      <c r="N79" s="14" t="s">
        <v>16</v>
      </c>
      <c r="O79" s="14" t="s">
        <v>17</v>
      </c>
      <c r="P79" s="14" t="s">
        <v>14</v>
      </c>
      <c r="Q79" s="14" t="s">
        <v>15</v>
      </c>
      <c r="R79" s="14" t="s">
        <v>16</v>
      </c>
      <c r="S79" s="14" t="s">
        <v>17</v>
      </c>
      <c r="T79" s="14" t="s">
        <v>14</v>
      </c>
      <c r="U79" s="14" t="s">
        <v>15</v>
      </c>
      <c r="V79" s="14" t="s">
        <v>16</v>
      </c>
      <c r="W79" s="14" t="s">
        <v>17</v>
      </c>
      <c r="X79" s="14" t="s">
        <v>14</v>
      </c>
      <c r="Y79" s="14" t="s">
        <v>15</v>
      </c>
      <c r="Z79" s="14" t="s">
        <v>16</v>
      </c>
      <c r="AA79" s="14" t="s">
        <v>17</v>
      </c>
      <c r="AB79" s="14" t="s">
        <v>14</v>
      </c>
      <c r="AC79" s="14" t="s">
        <v>15</v>
      </c>
      <c r="AD79" s="14" t="s">
        <v>16</v>
      </c>
      <c r="AE79" s="14" t="s">
        <v>17</v>
      </c>
      <c r="AF79" s="14" t="s">
        <v>14</v>
      </c>
      <c r="AG79" s="14" t="s">
        <v>15</v>
      </c>
      <c r="AH79" s="14" t="s">
        <v>16</v>
      </c>
      <c r="AI79" s="14" t="s">
        <v>17</v>
      </c>
      <c r="AJ79" s="14" t="s">
        <v>14</v>
      </c>
      <c r="AK79" s="14" t="s">
        <v>15</v>
      </c>
      <c r="AL79" s="14" t="s">
        <v>16</v>
      </c>
      <c r="AM79" s="14" t="s">
        <v>17</v>
      </c>
      <c r="AN79" s="14" t="s">
        <v>14</v>
      </c>
      <c r="AO79" s="14" t="s">
        <v>15</v>
      </c>
      <c r="AP79" s="14" t="s">
        <v>16</v>
      </c>
      <c r="AQ79" s="14" t="s">
        <v>17</v>
      </c>
      <c r="AR79" s="14" t="s">
        <v>14</v>
      </c>
      <c r="AS79" s="14" t="s">
        <v>15</v>
      </c>
      <c r="AT79" s="14" t="s">
        <v>16</v>
      </c>
      <c r="AU79" s="14" t="s">
        <v>17</v>
      </c>
      <c r="AV79" s="14" t="s">
        <v>14</v>
      </c>
      <c r="AW79" s="14" t="s">
        <v>15</v>
      </c>
      <c r="AX79" s="14" t="s">
        <v>16</v>
      </c>
      <c r="AY79" s="14" t="s">
        <v>17</v>
      </c>
      <c r="AZ79" s="14" t="s">
        <v>14</v>
      </c>
      <c r="BA79" s="14" t="s">
        <v>15</v>
      </c>
      <c r="BB79" s="14" t="s">
        <v>16</v>
      </c>
      <c r="BC79" s="14" t="s">
        <v>17</v>
      </c>
      <c r="BD79" s="14" t="s">
        <v>14</v>
      </c>
      <c r="BE79" s="14" t="s">
        <v>15</v>
      </c>
      <c r="BF79" s="14" t="s">
        <v>16</v>
      </c>
      <c r="BG79" s="14" t="s">
        <v>17</v>
      </c>
      <c r="BH79" s="14" t="s">
        <v>14</v>
      </c>
      <c r="BI79" s="14" t="s">
        <v>15</v>
      </c>
      <c r="BJ79" s="14" t="s">
        <v>16</v>
      </c>
      <c r="BK79" s="14" t="s">
        <v>17</v>
      </c>
      <c r="BL79" s="14" t="s">
        <v>14</v>
      </c>
      <c r="BM79" s="14" t="s">
        <v>15</v>
      </c>
      <c r="BN79" s="14" t="s">
        <v>16</v>
      </c>
      <c r="BO79" s="14" t="s">
        <v>17</v>
      </c>
      <c r="BP79" s="14" t="s">
        <v>14</v>
      </c>
      <c r="BQ79" s="14" t="s">
        <v>15</v>
      </c>
      <c r="BR79" s="14" t="s">
        <v>16</v>
      </c>
      <c r="BS79" s="14" t="s">
        <v>17</v>
      </c>
      <c r="BT79" s="14" t="s">
        <v>14</v>
      </c>
      <c r="BU79" s="14" t="s">
        <v>15</v>
      </c>
      <c r="BV79" s="14" t="s">
        <v>16</v>
      </c>
      <c r="BW79" s="14" t="s">
        <v>17</v>
      </c>
      <c r="BX79" s="14" t="s">
        <v>14</v>
      </c>
      <c r="BY79" s="14" t="s">
        <v>15</v>
      </c>
      <c r="BZ79" s="14" t="s">
        <v>16</v>
      </c>
      <c r="CA79" s="14" t="s">
        <v>17</v>
      </c>
      <c r="CB79" s="14" t="s">
        <v>14</v>
      </c>
      <c r="CC79" s="14" t="s">
        <v>15</v>
      </c>
      <c r="CD79" s="14" t="s">
        <v>16</v>
      </c>
      <c r="CE79" s="14" t="s">
        <v>17</v>
      </c>
      <c r="CF79" s="14" t="s">
        <v>14</v>
      </c>
      <c r="CG79" s="14" t="s">
        <v>15</v>
      </c>
      <c r="CH79" s="14" t="s">
        <v>16</v>
      </c>
      <c r="CI79" s="15" t="s">
        <v>17</v>
      </c>
    </row>
    <row r="80" spans="1:87" x14ac:dyDescent="0.2">
      <c r="A80" s="80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CI80" s="18"/>
    </row>
    <row r="81" spans="1:87" ht="14" x14ac:dyDescent="0.2">
      <c r="A81" s="19"/>
      <c r="B81" s="20" t="s">
        <v>18</v>
      </c>
      <c r="C81" s="21" t="s">
        <v>19</v>
      </c>
      <c r="D81" s="56"/>
      <c r="E81" s="56"/>
      <c r="F81" s="56"/>
      <c r="G81" s="56"/>
      <c r="H81" s="57">
        <v>1.5111973839948121</v>
      </c>
      <c r="I81" s="57">
        <v>0.63084269862740427</v>
      </c>
      <c r="J81" s="57">
        <v>1.7188264790198247</v>
      </c>
      <c r="K81" s="57">
        <v>2.1314199794244075</v>
      </c>
      <c r="L81" s="57">
        <v>3.9745853413752457</v>
      </c>
      <c r="M81" s="57">
        <v>3.8050225538883495</v>
      </c>
      <c r="N81" s="57">
        <v>4.2060689305119183</v>
      </c>
      <c r="O81" s="57">
        <v>3.931089702197994</v>
      </c>
      <c r="P81" s="57">
        <v>2.3356122514271078</v>
      </c>
      <c r="Q81" s="57">
        <v>1.2684521063085867</v>
      </c>
      <c r="R81" s="57">
        <v>0.40478956138505851</v>
      </c>
      <c r="S81" s="57">
        <v>-0.80518899575039882</v>
      </c>
      <c r="T81" s="57">
        <v>-3.0845370454236871</v>
      </c>
      <c r="U81" s="57">
        <v>-2.9569752275186261</v>
      </c>
      <c r="V81" s="57">
        <v>-1.2115626077551127</v>
      </c>
      <c r="W81" s="57">
        <v>-0.23299511461854649</v>
      </c>
      <c r="X81" s="57">
        <v>-0.34300036975326975</v>
      </c>
      <c r="Y81" s="57">
        <v>1.0535171237745118</v>
      </c>
      <c r="Z81" s="57">
        <v>-0.30137078338282208</v>
      </c>
      <c r="AA81" s="57">
        <v>0.30385214203204214</v>
      </c>
      <c r="AB81" s="57">
        <v>6.8002400542331713</v>
      </c>
      <c r="AC81" s="57">
        <v>4.2522754192725358</v>
      </c>
      <c r="AD81" s="57">
        <v>2.9095670031578322</v>
      </c>
      <c r="AE81" s="57">
        <v>1.9102220664447174</v>
      </c>
      <c r="AF81" s="57">
        <v>1.7039970901118409</v>
      </c>
      <c r="AG81" s="57">
        <v>3.5086447076194247</v>
      </c>
      <c r="AH81" s="57">
        <v>3.1220144118582454</v>
      </c>
      <c r="AI81" s="57">
        <v>2.5033164644032695</v>
      </c>
      <c r="AJ81" s="57">
        <v>3.4642009289244271</v>
      </c>
      <c r="AK81" s="57">
        <v>7.3646200714684937</v>
      </c>
      <c r="AL81" s="57">
        <v>7.3400549542378002</v>
      </c>
      <c r="AM81" s="57">
        <v>7.4535650089873968</v>
      </c>
      <c r="AN81" s="57">
        <v>7.6873634595688429</v>
      </c>
      <c r="AO81" s="57">
        <v>3.2415881901301447</v>
      </c>
      <c r="AP81" s="57">
        <v>2.772165467397997</v>
      </c>
      <c r="AQ81" s="57">
        <v>2.9106724657076199</v>
      </c>
      <c r="AR81" s="57">
        <v>3.1542568596041036</v>
      </c>
      <c r="AS81" s="57">
        <v>2.9491126856894425</v>
      </c>
      <c r="AT81" s="57">
        <v>4.3316004794002936</v>
      </c>
      <c r="AU81" s="57">
        <v>4.2999566536627611</v>
      </c>
      <c r="AV81" s="57">
        <v>-0.61981063907236944</v>
      </c>
      <c r="AW81" s="57">
        <v>0.18107699821774759</v>
      </c>
      <c r="AX81" s="57">
        <v>0.66257346735679334</v>
      </c>
      <c r="AY81" s="57">
        <v>2.7366802427063419</v>
      </c>
      <c r="AZ81" s="57">
        <v>11.180530642415931</v>
      </c>
      <c r="BA81" s="57">
        <v>8.7026770001135532</v>
      </c>
      <c r="BB81" s="57">
        <v>7.7049467498495829</v>
      </c>
      <c r="BC81" s="57">
        <v>5.5763435205598739</v>
      </c>
      <c r="BD81" s="57">
        <v>0.91712616050374152</v>
      </c>
      <c r="BE81" s="57">
        <v>2.4001070762857921</v>
      </c>
      <c r="BF81" s="57">
        <v>1.8781016008229585</v>
      </c>
      <c r="BG81" s="57">
        <v>1.5939308019464278</v>
      </c>
      <c r="BH81" s="57">
        <v>1.4339385319900799</v>
      </c>
      <c r="BI81" s="57">
        <v>1.2984632042996509</v>
      </c>
      <c r="BJ81" s="57">
        <v>2.0983901413887764</v>
      </c>
      <c r="BK81" s="57">
        <v>2.7173298133132278</v>
      </c>
      <c r="BL81" s="57">
        <v>5.6260210392808858</v>
      </c>
      <c r="BM81" s="57">
        <v>2.2712451132837117</v>
      </c>
      <c r="BN81" s="57">
        <v>1.7207054714242247</v>
      </c>
      <c r="BO81" s="57">
        <v>1.9606763231811328</v>
      </c>
      <c r="BP81" s="57">
        <v>4.0286003873591483</v>
      </c>
      <c r="BQ81" s="57">
        <v>5.2139435411500727</v>
      </c>
      <c r="BR81" s="57">
        <v>4.4864219211671923</v>
      </c>
      <c r="BS81" s="57">
        <v>4.3735033039845774</v>
      </c>
      <c r="BT81" s="58">
        <v>-1.4590949472648447</v>
      </c>
      <c r="BU81" s="58">
        <v>0.29587425346436191</v>
      </c>
      <c r="BV81" s="58">
        <v>-9.6090338626808602E-2</v>
      </c>
      <c r="BW81" s="58">
        <v>-0.90739718465360397</v>
      </c>
      <c r="BX81" s="58">
        <v>0.8388293606174102</v>
      </c>
      <c r="BY81" s="58">
        <v>-0.31121276002802745</v>
      </c>
      <c r="BZ81" s="58">
        <v>0.28715523521152875</v>
      </c>
      <c r="CA81" s="58">
        <v>1.6486194770377125</v>
      </c>
      <c r="CB81" s="58">
        <v>2.8828638590602225</v>
      </c>
      <c r="CC81" s="58">
        <v>5.1325690641590143</v>
      </c>
      <c r="CD81" s="58">
        <v>6.356685505992175</v>
      </c>
      <c r="CE81" s="58">
        <v>6.1278665502063348</v>
      </c>
      <c r="CF81" s="58">
        <v>6.3464589324274527</v>
      </c>
      <c r="CG81" s="58">
        <v>5.0182538768914497</v>
      </c>
      <c r="CH81" s="58">
        <v>4.3189497428425909</v>
      </c>
      <c r="CI81" s="59">
        <v>3.1002323076256602</v>
      </c>
    </row>
    <row r="82" spans="1:87" ht="14" x14ac:dyDescent="0.2">
      <c r="A82" s="24"/>
      <c r="B82" s="25" t="s">
        <v>20</v>
      </c>
      <c r="C82" s="26" t="s">
        <v>21</v>
      </c>
      <c r="D82" s="60"/>
      <c r="E82" s="60"/>
      <c r="F82" s="60"/>
      <c r="G82" s="60"/>
      <c r="H82" s="61">
        <v>4.1374937046884099</v>
      </c>
      <c r="I82" s="61">
        <v>1.4906295991397087</v>
      </c>
      <c r="J82" s="61">
        <v>2.2119370033409638</v>
      </c>
      <c r="K82" s="61">
        <v>2.2931097338680217</v>
      </c>
      <c r="L82" s="61">
        <v>-2.081233304010695</v>
      </c>
      <c r="M82" s="61">
        <v>-0.44924562377980237</v>
      </c>
      <c r="N82" s="61">
        <v>-9.4920851094030922E-2</v>
      </c>
      <c r="O82" s="61">
        <v>1.3364695819523007</v>
      </c>
      <c r="P82" s="61">
        <v>11.023013891189962</v>
      </c>
      <c r="Q82" s="61">
        <v>10.675622804959573</v>
      </c>
      <c r="R82" s="61">
        <v>10.814814689865244</v>
      </c>
      <c r="S82" s="61">
        <v>9.3796159527326495</v>
      </c>
      <c r="T82" s="61">
        <v>7.92323261576459</v>
      </c>
      <c r="U82" s="61">
        <v>9.4235520866009068</v>
      </c>
      <c r="V82" s="61">
        <v>9.5957837014526461</v>
      </c>
      <c r="W82" s="61">
        <v>11.440146619079769</v>
      </c>
      <c r="X82" s="61">
        <v>14.756583237030412</v>
      </c>
      <c r="Y82" s="61">
        <v>15.144394711241759</v>
      </c>
      <c r="Z82" s="61">
        <v>13.045565002913406</v>
      </c>
      <c r="AA82" s="61">
        <v>10.871635073141178</v>
      </c>
      <c r="AB82" s="61">
        <v>10.026771346266969</v>
      </c>
      <c r="AC82" s="61">
        <v>11.222505277354045</v>
      </c>
      <c r="AD82" s="61">
        <v>13.518167128042464</v>
      </c>
      <c r="AE82" s="61">
        <v>14.435162776173001</v>
      </c>
      <c r="AF82" s="61">
        <v>11.396295316597588</v>
      </c>
      <c r="AG82" s="61">
        <v>8.4481330044567926</v>
      </c>
      <c r="AH82" s="61">
        <v>6.2340841665018019</v>
      </c>
      <c r="AI82" s="61">
        <v>5.3690817301132512</v>
      </c>
      <c r="AJ82" s="61">
        <v>2.9833365267342629</v>
      </c>
      <c r="AK82" s="61">
        <v>3.8953816833306405</v>
      </c>
      <c r="AL82" s="61">
        <v>4.7998404856475219</v>
      </c>
      <c r="AM82" s="61">
        <v>5.3070033452034266</v>
      </c>
      <c r="AN82" s="61">
        <v>4.1216319226200113</v>
      </c>
      <c r="AO82" s="61">
        <v>0.11892506677955339</v>
      </c>
      <c r="AP82" s="61">
        <v>-0.72290745725176464</v>
      </c>
      <c r="AQ82" s="61">
        <v>-1.3485264581710794</v>
      </c>
      <c r="AR82" s="61">
        <v>-2.6786692775309859</v>
      </c>
      <c r="AS82" s="61">
        <v>3.170569027189174E-2</v>
      </c>
      <c r="AT82" s="61">
        <v>-0.82130076455987933</v>
      </c>
      <c r="AU82" s="61">
        <v>-1.0574206415157192</v>
      </c>
      <c r="AV82" s="61">
        <v>-1.1503003418676911</v>
      </c>
      <c r="AW82" s="61">
        <v>-3.0954173435873145</v>
      </c>
      <c r="AX82" s="61">
        <v>-2.4424670940244937</v>
      </c>
      <c r="AY82" s="61">
        <v>-2.8849182186574751</v>
      </c>
      <c r="AZ82" s="61">
        <v>-8.1923137586326931</v>
      </c>
      <c r="BA82" s="61">
        <v>-6.4407574481254386</v>
      </c>
      <c r="BB82" s="61">
        <v>-6.4548926461877301</v>
      </c>
      <c r="BC82" s="61">
        <v>-5.7531403368430034</v>
      </c>
      <c r="BD82" s="61">
        <v>-4.6634957558329972</v>
      </c>
      <c r="BE82" s="61">
        <v>-3.9207985813592927</v>
      </c>
      <c r="BF82" s="61">
        <v>-2.5928791665568554</v>
      </c>
      <c r="BG82" s="61">
        <v>-1.6608552027894916</v>
      </c>
      <c r="BH82" s="61">
        <v>4.7474035792098022</v>
      </c>
      <c r="BI82" s="61">
        <v>2.5924944738620894</v>
      </c>
      <c r="BJ82" s="61">
        <v>1.8128952873653219</v>
      </c>
      <c r="BK82" s="61">
        <v>1.9245124568442407</v>
      </c>
      <c r="BL82" s="61">
        <v>-3.1892062197587023</v>
      </c>
      <c r="BM82" s="61">
        <v>-11.972853042502422</v>
      </c>
      <c r="BN82" s="61">
        <v>-14.062829926596862</v>
      </c>
      <c r="BO82" s="61">
        <v>-15.190076213581094</v>
      </c>
      <c r="BP82" s="61">
        <v>-14.0413666755625</v>
      </c>
      <c r="BQ82" s="61">
        <v>-5.4504694959119462</v>
      </c>
      <c r="BR82" s="61">
        <v>-2.9378153875101134</v>
      </c>
      <c r="BS82" s="61">
        <v>-0.20509499136444731</v>
      </c>
      <c r="BT82" s="62">
        <v>2.1374201204690451</v>
      </c>
      <c r="BU82" s="62">
        <v>2.7023255484429001</v>
      </c>
      <c r="BV82" s="62">
        <v>4.1804026522355571</v>
      </c>
      <c r="BW82" s="62">
        <v>1.454840454299628</v>
      </c>
      <c r="BX82" s="62">
        <v>3.2732595620737186</v>
      </c>
      <c r="BY82" s="62">
        <v>3.3236782106300637</v>
      </c>
      <c r="BZ82" s="62">
        <v>2.9044466179419999</v>
      </c>
      <c r="CA82" s="62">
        <v>2.5667679513833122</v>
      </c>
      <c r="CB82" s="62">
        <v>-0.75180084797568725</v>
      </c>
      <c r="CC82" s="62">
        <v>-1.3236439793641637</v>
      </c>
      <c r="CD82" s="62">
        <v>-2.7976858263133835</v>
      </c>
      <c r="CE82" s="62">
        <v>-3.4120734908136257</v>
      </c>
      <c r="CF82" s="62">
        <v>-5.7218504528212009</v>
      </c>
      <c r="CG82" s="62">
        <v>-7.9737461649187225</v>
      </c>
      <c r="CH82" s="62">
        <v>-7.2859611833734306</v>
      </c>
      <c r="CI82" s="63">
        <v>-6.1873733747030712</v>
      </c>
    </row>
    <row r="83" spans="1:87" ht="14" x14ac:dyDescent="0.2">
      <c r="A83" s="29"/>
      <c r="B83" s="20" t="s">
        <v>22</v>
      </c>
      <c r="C83" s="21" t="s">
        <v>23</v>
      </c>
      <c r="D83" s="64"/>
      <c r="E83" s="64"/>
      <c r="F83" s="64"/>
      <c r="G83" s="64"/>
      <c r="H83" s="57">
        <v>6.2936780609864229</v>
      </c>
      <c r="I83" s="57">
        <v>4.8116068637428953</v>
      </c>
      <c r="J83" s="57">
        <v>6.4510301188923194</v>
      </c>
      <c r="K83" s="57">
        <v>7.2917206027028385</v>
      </c>
      <c r="L83" s="57">
        <v>10.105894087975315</v>
      </c>
      <c r="M83" s="57">
        <v>9.2725745834928262</v>
      </c>
      <c r="N83" s="57">
        <v>7.8953398050450261</v>
      </c>
      <c r="O83" s="57">
        <v>7.76376907763769</v>
      </c>
      <c r="P83" s="57">
        <v>4.2279148914000189</v>
      </c>
      <c r="Q83" s="57">
        <v>3.7092375971170384</v>
      </c>
      <c r="R83" s="57">
        <v>2.3573188712607873</v>
      </c>
      <c r="S83" s="57">
        <v>0.3571428571428612</v>
      </c>
      <c r="T83" s="57">
        <v>-4.2957179320439138</v>
      </c>
      <c r="U83" s="57">
        <v>-5.4224499125351997</v>
      </c>
      <c r="V83" s="57">
        <v>-4.7444408965511684</v>
      </c>
      <c r="W83" s="57">
        <v>-3.6646995169513303</v>
      </c>
      <c r="X83" s="57">
        <v>0.32007522854860326</v>
      </c>
      <c r="Y83" s="57">
        <v>1.9464130308781478</v>
      </c>
      <c r="Z83" s="57">
        <v>1.602524273812449</v>
      </c>
      <c r="AA83" s="57">
        <v>1.8829469393426734</v>
      </c>
      <c r="AB83" s="57">
        <v>6.1934430651801478</v>
      </c>
      <c r="AC83" s="57">
        <v>5.4527387614869269</v>
      </c>
      <c r="AD83" s="57">
        <v>6.2178830531645133</v>
      </c>
      <c r="AE83" s="57">
        <v>5.5876335530802805</v>
      </c>
      <c r="AF83" s="57">
        <v>3.1045826168288926</v>
      </c>
      <c r="AG83" s="57">
        <v>2.1222140177679023</v>
      </c>
      <c r="AH83" s="57">
        <v>1.3613277253402174</v>
      </c>
      <c r="AI83" s="57">
        <v>0.82996038580776599</v>
      </c>
      <c r="AJ83" s="57">
        <v>-4.2935531783227816</v>
      </c>
      <c r="AK83" s="57">
        <v>-0.25821721942128306</v>
      </c>
      <c r="AL83" s="57">
        <v>0.60033332918256122</v>
      </c>
      <c r="AM83" s="57">
        <v>1.5096031686720153</v>
      </c>
      <c r="AN83" s="57">
        <v>6.8685046887167545</v>
      </c>
      <c r="AO83" s="57">
        <v>3.7243989948278653</v>
      </c>
      <c r="AP83" s="57">
        <v>3.2618949358624576</v>
      </c>
      <c r="AQ83" s="57">
        <v>2.8901673310124778</v>
      </c>
      <c r="AR83" s="57">
        <v>0.6956025113777855</v>
      </c>
      <c r="AS83" s="57">
        <v>0.84381674055764222</v>
      </c>
      <c r="AT83" s="57">
        <v>1.3406560236201699</v>
      </c>
      <c r="AU83" s="57">
        <v>2.0034958959000164</v>
      </c>
      <c r="AV83" s="57">
        <v>4.3339018154246389</v>
      </c>
      <c r="AW83" s="57">
        <v>5.194945472534414</v>
      </c>
      <c r="AX83" s="57">
        <v>3.8557188858409717</v>
      </c>
      <c r="AY83" s="57">
        <v>3.2238022226898551</v>
      </c>
      <c r="AZ83" s="57">
        <v>0.63806316304260235</v>
      </c>
      <c r="BA83" s="57">
        <v>-2.0304366273972789</v>
      </c>
      <c r="BB83" s="57">
        <v>-1.7068135538292637</v>
      </c>
      <c r="BC83" s="57">
        <v>-1.8163990447158369</v>
      </c>
      <c r="BD83" s="57">
        <v>-2.2824113757599918</v>
      </c>
      <c r="BE83" s="57">
        <v>0.76693003353780398</v>
      </c>
      <c r="BF83" s="57">
        <v>1.181561934392434</v>
      </c>
      <c r="BG83" s="57">
        <v>1.4752558461462115</v>
      </c>
      <c r="BH83" s="57">
        <v>2.2780125648613705</v>
      </c>
      <c r="BI83" s="57">
        <v>1.0313913766050007</v>
      </c>
      <c r="BJ83" s="57">
        <v>1.1505451627919427</v>
      </c>
      <c r="BK83" s="57">
        <v>1.2014382180128393</v>
      </c>
      <c r="BL83" s="57">
        <v>-1.2113840710277515</v>
      </c>
      <c r="BM83" s="57">
        <v>-14.564966203087337</v>
      </c>
      <c r="BN83" s="57">
        <v>-12.15904691556149</v>
      </c>
      <c r="BO83" s="57">
        <v>-9.2489890236857377</v>
      </c>
      <c r="BP83" s="57">
        <v>4.8583414834232599</v>
      </c>
      <c r="BQ83" s="57">
        <v>16.196404327441229</v>
      </c>
      <c r="BR83" s="57">
        <v>15.72617462349956</v>
      </c>
      <c r="BS83" s="57">
        <v>13.593057058586382</v>
      </c>
      <c r="BT83" s="58">
        <v>8.1152848761025069</v>
      </c>
      <c r="BU83" s="58">
        <v>12.881119487370341</v>
      </c>
      <c r="BV83" s="58">
        <v>10.214432987744829</v>
      </c>
      <c r="BW83" s="58">
        <v>8.1594530476528462</v>
      </c>
      <c r="BX83" s="58">
        <v>3.0085414328746793</v>
      </c>
      <c r="BY83" s="58">
        <v>0.72916629873209615</v>
      </c>
      <c r="BZ83" s="58">
        <v>-0.96445673612160476</v>
      </c>
      <c r="CA83" s="58">
        <v>-1.6208701058703383</v>
      </c>
      <c r="CB83" s="58">
        <v>-5.5264665637846804</v>
      </c>
      <c r="CC83" s="58">
        <v>-3.7867973426164099</v>
      </c>
      <c r="CD83" s="58">
        <v>-3.2662928426930478</v>
      </c>
      <c r="CE83" s="58">
        <v>-2.5648452929559085</v>
      </c>
      <c r="CF83" s="58">
        <v>1.4253567830587741</v>
      </c>
      <c r="CG83" s="58">
        <v>1.0981876659950558</v>
      </c>
      <c r="CH83" s="58">
        <v>2.1405482823736719</v>
      </c>
      <c r="CI83" s="59">
        <v>1.8500057514709454</v>
      </c>
    </row>
    <row r="84" spans="1:87" ht="28" x14ac:dyDescent="0.2">
      <c r="A84" s="24"/>
      <c r="B84" s="25" t="s">
        <v>24</v>
      </c>
      <c r="C84" s="26" t="s">
        <v>25</v>
      </c>
      <c r="D84" s="65"/>
      <c r="E84" s="65"/>
      <c r="F84" s="65"/>
      <c r="G84" s="65"/>
      <c r="H84" s="61">
        <v>5.185267006056506</v>
      </c>
      <c r="I84" s="61">
        <v>4.8752581453297239</v>
      </c>
      <c r="J84" s="61">
        <v>4.8799106549490148</v>
      </c>
      <c r="K84" s="61">
        <v>5.3197752207653224</v>
      </c>
      <c r="L84" s="61">
        <v>6.4491727410434407</v>
      </c>
      <c r="M84" s="61">
        <v>5.2199998316854135</v>
      </c>
      <c r="N84" s="61">
        <v>4.6160421281549446</v>
      </c>
      <c r="O84" s="61">
        <v>4.227857106560279</v>
      </c>
      <c r="P84" s="61">
        <v>-1.6001847527004003</v>
      </c>
      <c r="Q84" s="61">
        <v>-0.38038787263168672</v>
      </c>
      <c r="R84" s="61">
        <v>0.23745515601709144</v>
      </c>
      <c r="S84" s="61">
        <v>0.52654673102236416</v>
      </c>
      <c r="T84" s="61">
        <v>0.47239073335920523</v>
      </c>
      <c r="U84" s="61">
        <v>0.67721102161463875</v>
      </c>
      <c r="V84" s="61">
        <v>1.4820212433099869</v>
      </c>
      <c r="W84" s="61">
        <v>2.3958484892574887</v>
      </c>
      <c r="X84" s="61">
        <v>8.2941089060816608</v>
      </c>
      <c r="Y84" s="61">
        <v>7.0236376565278533</v>
      </c>
      <c r="Z84" s="61">
        <v>5.6248282922811228</v>
      </c>
      <c r="AA84" s="61">
        <v>3.8933358594231038</v>
      </c>
      <c r="AB84" s="61">
        <v>2.4431336772599082</v>
      </c>
      <c r="AC84" s="61">
        <v>2.4681817261342331</v>
      </c>
      <c r="AD84" s="61">
        <v>2.7612076381355593</v>
      </c>
      <c r="AE84" s="61">
        <v>3.0681559152040023</v>
      </c>
      <c r="AF84" s="61">
        <v>2.1841586281395422</v>
      </c>
      <c r="AG84" s="61">
        <v>2.2249156402890833</v>
      </c>
      <c r="AH84" s="61">
        <v>2.3030268718697471</v>
      </c>
      <c r="AI84" s="61">
        <v>2.1496815286624127</v>
      </c>
      <c r="AJ84" s="61">
        <v>1.9706242886947223</v>
      </c>
      <c r="AK84" s="61">
        <v>3.3359664519980754</v>
      </c>
      <c r="AL84" s="61">
        <v>3.4849903725092162</v>
      </c>
      <c r="AM84" s="61">
        <v>3.7065904563956025</v>
      </c>
      <c r="AN84" s="61">
        <v>4.4935317374471708</v>
      </c>
      <c r="AO84" s="61">
        <v>4.0838882968323276</v>
      </c>
      <c r="AP84" s="61">
        <v>3.9674617969252211</v>
      </c>
      <c r="AQ84" s="61">
        <v>3.436325678496857</v>
      </c>
      <c r="AR84" s="61">
        <v>-0.65615046766180285</v>
      </c>
      <c r="AS84" s="61">
        <v>-1.4095611340148224</v>
      </c>
      <c r="AT84" s="61">
        <v>-1.0555167151945852</v>
      </c>
      <c r="AU84" s="61">
        <v>-0.70237758850362297</v>
      </c>
      <c r="AV84" s="61">
        <v>1.108732534353706</v>
      </c>
      <c r="AW84" s="61">
        <v>0.11469703058124026</v>
      </c>
      <c r="AX84" s="61">
        <v>-0.2051302446755443</v>
      </c>
      <c r="AY84" s="61">
        <v>-8.130411805325366E-3</v>
      </c>
      <c r="AZ84" s="61">
        <v>0.50877745526048557</v>
      </c>
      <c r="BA84" s="61">
        <v>1.8105191004204642</v>
      </c>
      <c r="BB84" s="61">
        <v>2.5455188127168924</v>
      </c>
      <c r="BC84" s="61">
        <v>2.8865308777493084</v>
      </c>
      <c r="BD84" s="61">
        <v>2.0455754549799678</v>
      </c>
      <c r="BE84" s="61">
        <v>2.3927901624508365</v>
      </c>
      <c r="BF84" s="61">
        <v>2.595331966517449</v>
      </c>
      <c r="BG84" s="61">
        <v>2.5487019401746949</v>
      </c>
      <c r="BH84" s="61">
        <v>3.1324311627011809</v>
      </c>
      <c r="BI84" s="61">
        <v>2.8966041178933608</v>
      </c>
      <c r="BJ84" s="61">
        <v>2.7506006746171607</v>
      </c>
      <c r="BK84" s="61">
        <v>2.5200369913686842</v>
      </c>
      <c r="BL84" s="61">
        <v>1.8655506431090032</v>
      </c>
      <c r="BM84" s="61">
        <v>-3.8052794768791927</v>
      </c>
      <c r="BN84" s="61">
        <v>-4.4512502376103242</v>
      </c>
      <c r="BO84" s="61">
        <v>-3.8299631662031146</v>
      </c>
      <c r="BP84" s="61">
        <v>-1.372277560897345</v>
      </c>
      <c r="BQ84" s="61">
        <v>3.7485585165926096</v>
      </c>
      <c r="BR84" s="61">
        <v>5.4043039723304247</v>
      </c>
      <c r="BS84" s="61">
        <v>5.8310860984093438</v>
      </c>
      <c r="BT84" s="62">
        <v>5.8674251599317699</v>
      </c>
      <c r="BU84" s="62">
        <v>6.7075759519558602</v>
      </c>
      <c r="BV84" s="62">
        <v>5.4565225229937511</v>
      </c>
      <c r="BW84" s="62">
        <v>4.6087373979836883</v>
      </c>
      <c r="BX84" s="62">
        <v>2.3798916640675856</v>
      </c>
      <c r="BY84" s="62">
        <v>2.4459379434557746</v>
      </c>
      <c r="BZ84" s="62">
        <v>2.8828168520375073</v>
      </c>
      <c r="CA84" s="62">
        <v>3.1559995763758906</v>
      </c>
      <c r="CB84" s="62">
        <v>5.5690833140550353</v>
      </c>
      <c r="CC84" s="62">
        <v>4.2830736726720033</v>
      </c>
      <c r="CD84" s="62">
        <v>3.260797960498536</v>
      </c>
      <c r="CE84" s="62">
        <v>2.4879367578111555</v>
      </c>
      <c r="CF84" s="62">
        <v>-1.3280109028568745</v>
      </c>
      <c r="CG84" s="62">
        <v>-0.22038965586519055</v>
      </c>
      <c r="CH84" s="62">
        <v>0.55067673975506182</v>
      </c>
      <c r="CI84" s="63">
        <v>1.1406519109512061</v>
      </c>
    </row>
    <row r="85" spans="1:87" ht="14" x14ac:dyDescent="0.2">
      <c r="A85" s="19"/>
      <c r="B85" s="20" t="s">
        <v>26</v>
      </c>
      <c r="C85" s="21" t="s">
        <v>27</v>
      </c>
      <c r="D85" s="56"/>
      <c r="E85" s="56"/>
      <c r="F85" s="56"/>
      <c r="G85" s="56"/>
      <c r="H85" s="57">
        <v>5.906539262365726</v>
      </c>
      <c r="I85" s="57">
        <v>8.2630117861374686</v>
      </c>
      <c r="J85" s="57">
        <v>11.432388306713776</v>
      </c>
      <c r="K85" s="57">
        <v>12.141035963499732</v>
      </c>
      <c r="L85" s="57">
        <v>6.3975191315673356</v>
      </c>
      <c r="M85" s="57">
        <v>12.39504045974364</v>
      </c>
      <c r="N85" s="57">
        <v>9.7680702123309686</v>
      </c>
      <c r="O85" s="57">
        <v>6.9404972028599587</v>
      </c>
      <c r="P85" s="57">
        <v>1.4644507465714725</v>
      </c>
      <c r="Q85" s="57">
        <v>9.3261416711892196</v>
      </c>
      <c r="R85" s="57">
        <v>13.85320675729065</v>
      </c>
      <c r="S85" s="57">
        <v>9.9085237922063527</v>
      </c>
      <c r="T85" s="57">
        <v>-3.3018021958781532</v>
      </c>
      <c r="U85" s="57">
        <v>2.9062018306904349</v>
      </c>
      <c r="V85" s="57">
        <v>0.55814698357872317</v>
      </c>
      <c r="W85" s="57">
        <v>2.6139631958054395</v>
      </c>
      <c r="X85" s="57">
        <v>5.1513572431109935</v>
      </c>
      <c r="Y85" s="57">
        <v>-2.7842309797059102</v>
      </c>
      <c r="Z85" s="57">
        <v>-3.1856649448934888</v>
      </c>
      <c r="AA85" s="57">
        <v>-0.66474848695304445</v>
      </c>
      <c r="AB85" s="57">
        <v>2.0899595506000708</v>
      </c>
      <c r="AC85" s="57">
        <v>5.6763362894594707</v>
      </c>
      <c r="AD85" s="57">
        <v>7.7708233348959652</v>
      </c>
      <c r="AE85" s="57">
        <v>6.2125449460647104</v>
      </c>
      <c r="AF85" s="57">
        <v>17.748965696866975</v>
      </c>
      <c r="AG85" s="57">
        <v>16.200582868597223</v>
      </c>
      <c r="AH85" s="57">
        <v>7.5885327835959231</v>
      </c>
      <c r="AI85" s="57">
        <v>5.9126387060372423</v>
      </c>
      <c r="AJ85" s="57">
        <v>1.719659140454354</v>
      </c>
      <c r="AK85" s="57">
        <v>3.7890737387180877</v>
      </c>
      <c r="AL85" s="57">
        <v>11.106776247491808</v>
      </c>
      <c r="AM85" s="57">
        <v>11.276109298350761</v>
      </c>
      <c r="AN85" s="57">
        <v>14.456044919512976</v>
      </c>
      <c r="AO85" s="57">
        <v>10.140430224410423</v>
      </c>
      <c r="AP85" s="57">
        <v>10.169590376148179</v>
      </c>
      <c r="AQ85" s="57">
        <v>8.9186331810656014</v>
      </c>
      <c r="AR85" s="57">
        <v>5.8232147721852385</v>
      </c>
      <c r="AS85" s="57">
        <v>7.8708422560905831</v>
      </c>
      <c r="AT85" s="57">
        <v>5.7145490087012689</v>
      </c>
      <c r="AU85" s="57">
        <v>6.3001355261712177</v>
      </c>
      <c r="AV85" s="57">
        <v>8.6691029221433382</v>
      </c>
      <c r="AW85" s="57">
        <v>5.4349278070501015</v>
      </c>
      <c r="AX85" s="57">
        <v>5.1297369185095505</v>
      </c>
      <c r="AY85" s="57">
        <v>3.5887805382309352</v>
      </c>
      <c r="AZ85" s="57">
        <v>-4.34970522972948</v>
      </c>
      <c r="BA85" s="57">
        <v>-2.6753154190431729</v>
      </c>
      <c r="BB85" s="57">
        <v>-2.4815409344151504</v>
      </c>
      <c r="BC85" s="57">
        <v>-2.0257796257796059</v>
      </c>
      <c r="BD85" s="57">
        <v>-1.0559547907181326</v>
      </c>
      <c r="BE85" s="57">
        <v>-3.9574430310094897</v>
      </c>
      <c r="BF85" s="57">
        <v>-1.8654839039061955</v>
      </c>
      <c r="BG85" s="57">
        <v>-1.274890929770649</v>
      </c>
      <c r="BH85" s="57">
        <v>0.20010137516656812</v>
      </c>
      <c r="BI85" s="57">
        <v>-0.78089836706179483</v>
      </c>
      <c r="BJ85" s="57">
        <v>-3.5506993311549877</v>
      </c>
      <c r="BK85" s="57">
        <v>-3.8912579957356144</v>
      </c>
      <c r="BL85" s="57">
        <v>-18.46976642916853</v>
      </c>
      <c r="BM85" s="57">
        <v>-31.120164305356653</v>
      </c>
      <c r="BN85" s="57">
        <v>-30.775103601099048</v>
      </c>
      <c r="BO85" s="57">
        <v>-29.581521836365908</v>
      </c>
      <c r="BP85" s="57">
        <v>-7.05060736395248</v>
      </c>
      <c r="BQ85" s="57">
        <v>5.7410889614184981</v>
      </c>
      <c r="BR85" s="57">
        <v>3.6964172841956469</v>
      </c>
      <c r="BS85" s="57">
        <v>4.2684011280774428</v>
      </c>
      <c r="BT85" s="58">
        <v>5.0696598245452833</v>
      </c>
      <c r="BU85" s="58">
        <v>7.182639412562807</v>
      </c>
      <c r="BV85" s="58">
        <v>9.5178017670860271</v>
      </c>
      <c r="BW85" s="58">
        <v>6.6424620482955277</v>
      </c>
      <c r="BX85" s="58">
        <v>-1.817893275219717</v>
      </c>
      <c r="BY85" s="58">
        <v>-1.5637135931227135</v>
      </c>
      <c r="BZ85" s="58">
        <v>-3.5776673943123285</v>
      </c>
      <c r="CA85" s="58">
        <v>-3.0915114817776725</v>
      </c>
      <c r="CB85" s="58">
        <v>-0.5559965141124934</v>
      </c>
      <c r="CC85" s="58">
        <v>-0.22791853801591344</v>
      </c>
      <c r="CD85" s="58">
        <v>0.51916969728129914</v>
      </c>
      <c r="CE85" s="58">
        <v>8.4881637272474109E-2</v>
      </c>
      <c r="CF85" s="58">
        <v>-3.0118311844651373</v>
      </c>
      <c r="CG85" s="58">
        <v>-3.2926308310932626</v>
      </c>
      <c r="CH85" s="58">
        <v>-2.8206669069097927</v>
      </c>
      <c r="CI85" s="59">
        <v>-2.7679677050644926</v>
      </c>
    </row>
    <row r="86" spans="1:87" ht="28" x14ac:dyDescent="0.2">
      <c r="A86" s="30"/>
      <c r="B86" s="25" t="s">
        <v>28</v>
      </c>
      <c r="C86" s="26" t="s">
        <v>29</v>
      </c>
      <c r="D86" s="60"/>
      <c r="E86" s="60"/>
      <c r="F86" s="60"/>
      <c r="G86" s="60"/>
      <c r="H86" s="61">
        <v>5.8371951112649896</v>
      </c>
      <c r="I86" s="61">
        <v>5.9590458009926266</v>
      </c>
      <c r="J86" s="61">
        <v>7.1241128455131246</v>
      </c>
      <c r="K86" s="61">
        <v>7.6076650239385657</v>
      </c>
      <c r="L86" s="61">
        <v>9.1121239446497242</v>
      </c>
      <c r="M86" s="61">
        <v>8.5755256114738927</v>
      </c>
      <c r="N86" s="61">
        <v>8.053785845957151</v>
      </c>
      <c r="O86" s="61">
        <v>8.0684463590279023</v>
      </c>
      <c r="P86" s="61">
        <v>6.1830128658029224</v>
      </c>
      <c r="Q86" s="61">
        <v>5.0930136668965389</v>
      </c>
      <c r="R86" s="61">
        <v>4.0957058984970871</v>
      </c>
      <c r="S86" s="61">
        <v>3.0228601914578945</v>
      </c>
      <c r="T86" s="61">
        <v>-1.6132897484704074</v>
      </c>
      <c r="U86" s="61">
        <v>-1.1349796726585453</v>
      </c>
      <c r="V86" s="61">
        <v>-0.67655943917347372</v>
      </c>
      <c r="W86" s="61">
        <v>-0.15730951869149123</v>
      </c>
      <c r="X86" s="61">
        <v>4.5112691531800095</v>
      </c>
      <c r="Y86" s="61">
        <v>4.6090638533139412</v>
      </c>
      <c r="Z86" s="61">
        <v>4.8535768629945295</v>
      </c>
      <c r="AA86" s="61">
        <v>5.3452072221950431</v>
      </c>
      <c r="AB86" s="61">
        <v>6.5450059038670787</v>
      </c>
      <c r="AC86" s="61">
        <v>7.2191373589001557</v>
      </c>
      <c r="AD86" s="61">
        <v>7.3596494077191181</v>
      </c>
      <c r="AE86" s="61">
        <v>6.8891840924503214</v>
      </c>
      <c r="AF86" s="61">
        <v>6.2369018689070401</v>
      </c>
      <c r="AG86" s="61">
        <v>5.151975802479285</v>
      </c>
      <c r="AH86" s="61">
        <v>4.262983123903183</v>
      </c>
      <c r="AI86" s="61">
        <v>3.8153011828302823</v>
      </c>
      <c r="AJ86" s="61">
        <v>2.6802400764233596</v>
      </c>
      <c r="AK86" s="61">
        <v>3.8868287792712266</v>
      </c>
      <c r="AL86" s="61">
        <v>4.3345692700259519</v>
      </c>
      <c r="AM86" s="61">
        <v>4.7684026353461064</v>
      </c>
      <c r="AN86" s="61">
        <v>5.4903741731198181</v>
      </c>
      <c r="AO86" s="61">
        <v>4.8265528051055924</v>
      </c>
      <c r="AP86" s="61">
        <v>4.7530619279789335</v>
      </c>
      <c r="AQ86" s="61">
        <v>4.7255671239882133</v>
      </c>
      <c r="AR86" s="61">
        <v>3.5944178052303783</v>
      </c>
      <c r="AS86" s="61">
        <v>3.2061149730535021</v>
      </c>
      <c r="AT86" s="61">
        <v>3.282444675086893</v>
      </c>
      <c r="AU86" s="61">
        <v>3.3312223892326642</v>
      </c>
      <c r="AV86" s="61">
        <v>3.5761408502882119</v>
      </c>
      <c r="AW86" s="61">
        <v>3.0153811084127256</v>
      </c>
      <c r="AX86" s="61">
        <v>2.7248237627002396</v>
      </c>
      <c r="AY86" s="61">
        <v>2.6855400246623731</v>
      </c>
      <c r="AZ86" s="61">
        <v>1.2234979432909086</v>
      </c>
      <c r="BA86" s="61">
        <v>1.7627051003395167</v>
      </c>
      <c r="BB86" s="61">
        <v>2.3446185500808951</v>
      </c>
      <c r="BC86" s="61">
        <v>1.8595487034933029</v>
      </c>
      <c r="BD86" s="61">
        <v>3.8195004185382402</v>
      </c>
      <c r="BE86" s="61">
        <v>3.3863146651916765</v>
      </c>
      <c r="BF86" s="61">
        <v>2.8238205288419351</v>
      </c>
      <c r="BG86" s="61">
        <v>2.6727472961906642</v>
      </c>
      <c r="BH86" s="61">
        <v>2.1821549468287458</v>
      </c>
      <c r="BI86" s="61">
        <v>2.7887690624245067</v>
      </c>
      <c r="BJ86" s="61">
        <v>3.545914664057733</v>
      </c>
      <c r="BK86" s="61">
        <v>3.7486764119418581</v>
      </c>
      <c r="BL86" s="61">
        <v>3.0635693987117918</v>
      </c>
      <c r="BM86" s="61">
        <v>-15.139628837996483</v>
      </c>
      <c r="BN86" s="61">
        <v>-16.870969240197397</v>
      </c>
      <c r="BO86" s="61">
        <v>-13.688779905891707</v>
      </c>
      <c r="BP86" s="61">
        <v>-1.5193909327139323</v>
      </c>
      <c r="BQ86" s="61">
        <v>15.33761057251715</v>
      </c>
      <c r="BR86" s="61">
        <v>20.590686568071774</v>
      </c>
      <c r="BS86" s="61">
        <v>20.409260183514391</v>
      </c>
      <c r="BT86" s="62">
        <v>15.042672954232785</v>
      </c>
      <c r="BU86" s="62">
        <v>19.051290044662167</v>
      </c>
      <c r="BV86" s="62">
        <v>16.265438305713118</v>
      </c>
      <c r="BW86" s="62">
        <v>11.884067212957959</v>
      </c>
      <c r="BX86" s="62">
        <v>-0.89563648971913778</v>
      </c>
      <c r="BY86" s="62">
        <v>-2.6731793319916761</v>
      </c>
      <c r="BZ86" s="62">
        <v>-3.8113245403510518</v>
      </c>
      <c r="CA86" s="62">
        <v>-3.6386227493715921</v>
      </c>
      <c r="CB86" s="62">
        <v>-0.97341136824938701</v>
      </c>
      <c r="CC86" s="62">
        <v>-0.51450730905347086</v>
      </c>
      <c r="CD86" s="62">
        <v>1.8229084676150364E-2</v>
      </c>
      <c r="CE86" s="62">
        <v>1.2326474119727351</v>
      </c>
      <c r="CF86" s="62">
        <v>3.6868499861858055</v>
      </c>
      <c r="CG86" s="62">
        <v>4.7551816806898017</v>
      </c>
      <c r="CH86" s="62">
        <v>5.0634045350607551</v>
      </c>
      <c r="CI86" s="63">
        <v>4.5987328955726241</v>
      </c>
    </row>
    <row r="87" spans="1:87" ht="14" x14ac:dyDescent="0.2">
      <c r="A87" s="29"/>
      <c r="B87" s="20" t="s">
        <v>30</v>
      </c>
      <c r="C87" s="21" t="s">
        <v>31</v>
      </c>
      <c r="D87" s="64"/>
      <c r="E87" s="64"/>
      <c r="F87" s="64"/>
      <c r="G87" s="64"/>
      <c r="H87" s="57">
        <v>18.619617652036993</v>
      </c>
      <c r="I87" s="57">
        <v>19.460912134005696</v>
      </c>
      <c r="J87" s="57">
        <v>19.006498880892963</v>
      </c>
      <c r="K87" s="57">
        <v>14.91751767478398</v>
      </c>
      <c r="L87" s="57">
        <v>12.415222275076559</v>
      </c>
      <c r="M87" s="57">
        <v>10.095050563259008</v>
      </c>
      <c r="N87" s="57">
        <v>15.097010563273898</v>
      </c>
      <c r="O87" s="57">
        <v>14.573791783443852</v>
      </c>
      <c r="P87" s="57">
        <v>7.4410064858870157</v>
      </c>
      <c r="Q87" s="57">
        <v>6.2497643395968936</v>
      </c>
      <c r="R87" s="57">
        <v>4.1412243024037991</v>
      </c>
      <c r="S87" s="57">
        <v>2.1418769763140659</v>
      </c>
      <c r="T87" s="57">
        <v>-5.7017895034339574</v>
      </c>
      <c r="U87" s="57">
        <v>-7.196894635942499</v>
      </c>
      <c r="V87" s="57">
        <v>-9.9667982113658127</v>
      </c>
      <c r="W87" s="57">
        <v>-8.4754672897196315</v>
      </c>
      <c r="X87" s="57">
        <v>5.737189764548674</v>
      </c>
      <c r="Y87" s="57">
        <v>11.232636943775205</v>
      </c>
      <c r="Z87" s="57">
        <v>15.453346484772652</v>
      </c>
      <c r="AA87" s="57">
        <v>16.510306975556816</v>
      </c>
      <c r="AB87" s="57">
        <v>16.042927612494438</v>
      </c>
      <c r="AC87" s="57">
        <v>11.945111118915833</v>
      </c>
      <c r="AD87" s="57">
        <v>11.302542885718637</v>
      </c>
      <c r="AE87" s="57">
        <v>10.391104294478538</v>
      </c>
      <c r="AF87" s="57">
        <v>2.9883273973014752</v>
      </c>
      <c r="AG87" s="57">
        <v>1.9799503759027459</v>
      </c>
      <c r="AH87" s="57">
        <v>0.73599263736474541</v>
      </c>
      <c r="AI87" s="57">
        <v>1.3000545824443037</v>
      </c>
      <c r="AJ87" s="57">
        <v>6.472062024788201</v>
      </c>
      <c r="AK87" s="57">
        <v>7.7777844900609949</v>
      </c>
      <c r="AL87" s="57">
        <v>9.1827074979385941</v>
      </c>
      <c r="AM87" s="57">
        <v>8.8317413666421771</v>
      </c>
      <c r="AN87" s="57">
        <v>9.2045382849010906</v>
      </c>
      <c r="AO87" s="57">
        <v>9.214863887161016</v>
      </c>
      <c r="AP87" s="57">
        <v>6.9008383123575499</v>
      </c>
      <c r="AQ87" s="57">
        <v>6.4632280133225493</v>
      </c>
      <c r="AR87" s="57">
        <v>0.38811081583828866</v>
      </c>
      <c r="AS87" s="57">
        <v>-0.21087974644133567</v>
      </c>
      <c r="AT87" s="57">
        <v>1.2459763048984485</v>
      </c>
      <c r="AU87" s="57">
        <v>1.2978777373805741</v>
      </c>
      <c r="AV87" s="57">
        <v>0.33668166083597839</v>
      </c>
      <c r="AW87" s="57">
        <v>0.59136057843613798</v>
      </c>
      <c r="AX87" s="57">
        <v>9.8566716830646328E-2</v>
      </c>
      <c r="AY87" s="57">
        <v>-0.65523141772048632</v>
      </c>
      <c r="AZ87" s="57">
        <v>-1.376399044564991</v>
      </c>
      <c r="BA87" s="57">
        <v>-0.65327564151490947</v>
      </c>
      <c r="BB87" s="57">
        <v>-1.4166582431924439</v>
      </c>
      <c r="BC87" s="57">
        <v>-0.19324483280119864</v>
      </c>
      <c r="BD87" s="57">
        <v>0.75907568623070176</v>
      </c>
      <c r="BE87" s="57">
        <v>1.7472405025535096</v>
      </c>
      <c r="BF87" s="57">
        <v>3.4689027339667007</v>
      </c>
      <c r="BG87" s="57">
        <v>3.5230238235541549</v>
      </c>
      <c r="BH87" s="57">
        <v>3.3232455840463331</v>
      </c>
      <c r="BI87" s="57">
        <v>3.0347418170020006</v>
      </c>
      <c r="BJ87" s="57">
        <v>1.5465454456194578</v>
      </c>
      <c r="BK87" s="57">
        <v>0.91888595242934912</v>
      </c>
      <c r="BL87" s="57">
        <v>0.5819600978582713</v>
      </c>
      <c r="BM87" s="57">
        <v>-2.7456827550290939</v>
      </c>
      <c r="BN87" s="57">
        <v>-2.5396797815988492</v>
      </c>
      <c r="BO87" s="57">
        <v>-2.7718464203698545</v>
      </c>
      <c r="BP87" s="57">
        <v>3.3629923657015866</v>
      </c>
      <c r="BQ87" s="57">
        <v>7.5344443355959356</v>
      </c>
      <c r="BR87" s="57">
        <v>9.7987001061919443</v>
      </c>
      <c r="BS87" s="57">
        <v>12.750176107404812</v>
      </c>
      <c r="BT87" s="58">
        <v>20.840362336110402</v>
      </c>
      <c r="BU87" s="58">
        <v>18.684790300564316</v>
      </c>
      <c r="BV87" s="58">
        <v>16.574785712867637</v>
      </c>
      <c r="BW87" s="58">
        <v>12.326350606394712</v>
      </c>
      <c r="BX87" s="58">
        <v>2.4528989591173342</v>
      </c>
      <c r="BY87" s="58">
        <v>1.6763809296652283</v>
      </c>
      <c r="BZ87" s="58">
        <v>0.71967904445257602</v>
      </c>
      <c r="CA87" s="58">
        <v>1.537756838110198</v>
      </c>
      <c r="CB87" s="58">
        <v>-2.3007292586909216</v>
      </c>
      <c r="CC87" s="58">
        <v>-1.7051538152644099</v>
      </c>
      <c r="CD87" s="58">
        <v>-0.60777655671047626</v>
      </c>
      <c r="CE87" s="58">
        <v>-0.20944770251981026</v>
      </c>
      <c r="CF87" s="58">
        <v>0.4445372159753731</v>
      </c>
      <c r="CG87" s="58">
        <v>1.6922058218234071</v>
      </c>
      <c r="CH87" s="58">
        <v>1.7664488211410685</v>
      </c>
      <c r="CI87" s="59">
        <v>0.96882389009473968</v>
      </c>
    </row>
    <row r="88" spans="1:87" ht="14" x14ac:dyDescent="0.2">
      <c r="A88" s="24"/>
      <c r="B88" s="25" t="s">
        <v>32</v>
      </c>
      <c r="C88" s="26" t="s">
        <v>33</v>
      </c>
      <c r="D88" s="65"/>
      <c r="E88" s="65"/>
      <c r="F88" s="65"/>
      <c r="G88" s="65"/>
      <c r="H88" s="61">
        <v>10.29742306302704</v>
      </c>
      <c r="I88" s="61">
        <v>7.1755008683244768</v>
      </c>
      <c r="J88" s="61">
        <v>5.8043903362016351</v>
      </c>
      <c r="K88" s="61">
        <v>6.5871369294605842</v>
      </c>
      <c r="L88" s="61">
        <v>8.5271829863117858</v>
      </c>
      <c r="M88" s="61">
        <v>12.313713178895711</v>
      </c>
      <c r="N88" s="61">
        <v>12.629522397809964</v>
      </c>
      <c r="O88" s="61">
        <v>13.759124087591232</v>
      </c>
      <c r="P88" s="61">
        <v>11.8113868325092</v>
      </c>
      <c r="Q88" s="61">
        <v>8.9157080699839355</v>
      </c>
      <c r="R88" s="61">
        <v>9.4650614079069015</v>
      </c>
      <c r="S88" s="61">
        <v>10.137953160089836</v>
      </c>
      <c r="T88" s="61">
        <v>7.1031107438620751</v>
      </c>
      <c r="U88" s="61">
        <v>6.4319222528751823</v>
      </c>
      <c r="V88" s="61">
        <v>5.6543080917471826</v>
      </c>
      <c r="W88" s="61">
        <v>3.4809204777162819</v>
      </c>
      <c r="X88" s="61">
        <v>-3.0372892993248257</v>
      </c>
      <c r="Y88" s="61">
        <v>1.1703288687728559</v>
      </c>
      <c r="Z88" s="61">
        <v>3.0619246013164201</v>
      </c>
      <c r="AA88" s="61">
        <v>4.6774571897724826</v>
      </c>
      <c r="AB88" s="61">
        <v>13.363779005981982</v>
      </c>
      <c r="AC88" s="61">
        <v>12.129882440111288</v>
      </c>
      <c r="AD88" s="61">
        <v>11.151237249217544</v>
      </c>
      <c r="AE88" s="61">
        <v>10.944783076371436</v>
      </c>
      <c r="AF88" s="61">
        <v>8.6657460842970693</v>
      </c>
      <c r="AG88" s="61">
        <v>9.0047950483930919</v>
      </c>
      <c r="AH88" s="61">
        <v>8.2865469370057241</v>
      </c>
      <c r="AI88" s="61">
        <v>7.5624141552880246</v>
      </c>
      <c r="AJ88" s="61">
        <v>9.8921829524722256</v>
      </c>
      <c r="AK88" s="61">
        <v>9.2929151119847972</v>
      </c>
      <c r="AL88" s="61">
        <v>8.67574556674235</v>
      </c>
      <c r="AM88" s="61">
        <v>9.5170134455044177</v>
      </c>
      <c r="AN88" s="61">
        <v>9.2053253265726056</v>
      </c>
      <c r="AO88" s="61">
        <v>9.7832916464043507</v>
      </c>
      <c r="AP88" s="61">
        <v>11.018761639412844</v>
      </c>
      <c r="AQ88" s="61">
        <v>10.216049382716051</v>
      </c>
      <c r="AR88" s="61">
        <v>11.029793971512873</v>
      </c>
      <c r="AS88" s="61">
        <v>9.889612416845722</v>
      </c>
      <c r="AT88" s="61">
        <v>9.400541385720814</v>
      </c>
      <c r="AU88" s="61">
        <v>7.9560658390117567</v>
      </c>
      <c r="AV88" s="61">
        <v>2.2769985066052953</v>
      </c>
      <c r="AW88" s="61">
        <v>1.8624191294972974</v>
      </c>
      <c r="AX88" s="61">
        <v>2.0300924084324095</v>
      </c>
      <c r="AY88" s="61">
        <v>2.9686419183767754</v>
      </c>
      <c r="AZ88" s="61">
        <v>2.3814009200924318</v>
      </c>
      <c r="BA88" s="61">
        <v>4.8528820186172368</v>
      </c>
      <c r="BB88" s="61">
        <v>4.7363880038685977</v>
      </c>
      <c r="BC88" s="61">
        <v>5.3882326596876169</v>
      </c>
      <c r="BD88" s="61">
        <v>3.6401708798606194</v>
      </c>
      <c r="BE88" s="61">
        <v>3.9401064191564075</v>
      </c>
      <c r="BF88" s="61">
        <v>4.1303106335426065</v>
      </c>
      <c r="BG88" s="61">
        <v>3.7342965658282594</v>
      </c>
      <c r="BH88" s="61">
        <v>6.7349646495966624</v>
      </c>
      <c r="BI88" s="61">
        <v>5.8550875880274447</v>
      </c>
      <c r="BJ88" s="61">
        <v>6.7498879743780833</v>
      </c>
      <c r="BK88" s="61">
        <v>6.2677625009601456</v>
      </c>
      <c r="BL88" s="61">
        <v>2.3671004768540911</v>
      </c>
      <c r="BM88" s="61">
        <v>1.7876062280155196</v>
      </c>
      <c r="BN88" s="61">
        <v>1.8995352797456064</v>
      </c>
      <c r="BO88" s="61">
        <v>2.2358751957595473</v>
      </c>
      <c r="BP88" s="61">
        <v>5.0302885543769946</v>
      </c>
      <c r="BQ88" s="61">
        <v>4.1702216627257798</v>
      </c>
      <c r="BR88" s="61">
        <v>3.5102740444409761</v>
      </c>
      <c r="BS88" s="61">
        <v>3.6999505102160981</v>
      </c>
      <c r="BT88" s="62">
        <v>-3.1372439233428508</v>
      </c>
      <c r="BU88" s="62">
        <v>4.0988701969715322</v>
      </c>
      <c r="BV88" s="62">
        <v>5.9311546219212659</v>
      </c>
      <c r="BW88" s="62">
        <v>6.6745449173920122</v>
      </c>
      <c r="BX88" s="62">
        <v>23.861234991026407</v>
      </c>
      <c r="BY88" s="62">
        <v>13.681108223277704</v>
      </c>
      <c r="BZ88" s="62">
        <v>9.7804544978799868</v>
      </c>
      <c r="CA88" s="62">
        <v>8.9369407754580124</v>
      </c>
      <c r="CB88" s="62">
        <v>-2.1994073118925144</v>
      </c>
      <c r="CC88" s="62">
        <v>-4.6764284362865283E-2</v>
      </c>
      <c r="CD88" s="62">
        <v>1.618334279214821</v>
      </c>
      <c r="CE88" s="62">
        <v>1.0736286300968345</v>
      </c>
      <c r="CF88" s="62">
        <v>3.2794044477288224</v>
      </c>
      <c r="CG88" s="62">
        <v>3.0397817345189537</v>
      </c>
      <c r="CH88" s="62">
        <v>3.4832992695780405</v>
      </c>
      <c r="CI88" s="63">
        <v>2.7636052292486113</v>
      </c>
    </row>
    <row r="89" spans="1:87" ht="14" x14ac:dyDescent="0.2">
      <c r="A89" s="29"/>
      <c r="B89" s="20" t="s">
        <v>34</v>
      </c>
      <c r="C89" s="21" t="s">
        <v>35</v>
      </c>
      <c r="D89" s="64"/>
      <c r="E89" s="64"/>
      <c r="F89" s="64"/>
      <c r="G89" s="64"/>
      <c r="H89" s="57">
        <v>3.4946504686000708</v>
      </c>
      <c r="I89" s="57">
        <v>3.6715761118905732</v>
      </c>
      <c r="J89" s="57">
        <v>3.9062412833942091</v>
      </c>
      <c r="K89" s="57">
        <v>4.0451496028507137</v>
      </c>
      <c r="L89" s="57">
        <v>4.2477525990479279</v>
      </c>
      <c r="M89" s="57">
        <v>4.0863269456116456</v>
      </c>
      <c r="N89" s="57">
        <v>3.9131578427839599</v>
      </c>
      <c r="O89" s="57">
        <v>3.7501195828948681</v>
      </c>
      <c r="P89" s="57">
        <v>2.5860564504445449</v>
      </c>
      <c r="Q89" s="57">
        <v>2.6355534505513987</v>
      </c>
      <c r="R89" s="57">
        <v>2.7039778744800032</v>
      </c>
      <c r="S89" s="57">
        <v>2.77731673582295</v>
      </c>
      <c r="T89" s="57">
        <v>3.6545856531045473</v>
      </c>
      <c r="U89" s="57">
        <v>3.7243798611242198</v>
      </c>
      <c r="V89" s="57">
        <v>3.7622479988109063</v>
      </c>
      <c r="W89" s="57">
        <v>3.8309020114478471</v>
      </c>
      <c r="X89" s="57">
        <v>3.872586972384056</v>
      </c>
      <c r="Y89" s="57">
        <v>3.7635804770484071</v>
      </c>
      <c r="Z89" s="57">
        <v>3.7087314239576727</v>
      </c>
      <c r="AA89" s="57">
        <v>3.57031763038745</v>
      </c>
      <c r="AB89" s="57">
        <v>2.8861808152904018</v>
      </c>
      <c r="AC89" s="57">
        <v>2.8276258296168919</v>
      </c>
      <c r="AD89" s="57">
        <v>2.7882003041114274</v>
      </c>
      <c r="AE89" s="57">
        <v>2.8298738570379669</v>
      </c>
      <c r="AF89" s="57">
        <v>3.0299187450930845</v>
      </c>
      <c r="AG89" s="57">
        <v>3.0684779236994615</v>
      </c>
      <c r="AH89" s="57">
        <v>3.1430291398050372</v>
      </c>
      <c r="AI89" s="57">
        <v>3.1657688063867084</v>
      </c>
      <c r="AJ89" s="57">
        <v>3.1916154758313979</v>
      </c>
      <c r="AK89" s="57">
        <v>3.2500792664733638</v>
      </c>
      <c r="AL89" s="57">
        <v>3.2173468475708944</v>
      </c>
      <c r="AM89" s="57">
        <v>3.2180436936724419</v>
      </c>
      <c r="AN89" s="57">
        <v>3.2358825848721295</v>
      </c>
      <c r="AO89" s="57">
        <v>3.1365616164372341</v>
      </c>
      <c r="AP89" s="57">
        <v>3.1220262515205093</v>
      </c>
      <c r="AQ89" s="57">
        <v>3.1070476190476057</v>
      </c>
      <c r="AR89" s="57">
        <v>2.9765503625646943</v>
      </c>
      <c r="AS89" s="57">
        <v>3.0250712740842403</v>
      </c>
      <c r="AT89" s="57">
        <v>3.0575029766440878</v>
      </c>
      <c r="AU89" s="57">
        <v>3.1937219200756601</v>
      </c>
      <c r="AV89" s="57">
        <v>3.4113425585397152</v>
      </c>
      <c r="AW89" s="57">
        <v>3.6011599072606941</v>
      </c>
      <c r="AX89" s="57">
        <v>3.6089274992478408</v>
      </c>
      <c r="AY89" s="57">
        <v>3.5288220551378657</v>
      </c>
      <c r="AZ89" s="57">
        <v>3.2517122593183956</v>
      </c>
      <c r="BA89" s="57">
        <v>3.032901809830534</v>
      </c>
      <c r="BB89" s="57">
        <v>3.001564358717431</v>
      </c>
      <c r="BC89" s="57">
        <v>3.0516399452198897</v>
      </c>
      <c r="BD89" s="57">
        <v>3.3091180788095187</v>
      </c>
      <c r="BE89" s="57">
        <v>3.6179596619213044</v>
      </c>
      <c r="BF89" s="57">
        <v>3.8975111466070871</v>
      </c>
      <c r="BG89" s="57">
        <v>3.9653668031411513</v>
      </c>
      <c r="BH89" s="57">
        <v>4.3743504292652204</v>
      </c>
      <c r="BI89" s="57">
        <v>4.0582708377360603</v>
      </c>
      <c r="BJ89" s="57">
        <v>3.6415489612267464</v>
      </c>
      <c r="BK89" s="57">
        <v>3.2472982220558038</v>
      </c>
      <c r="BL89" s="57">
        <v>1.9758704899447253</v>
      </c>
      <c r="BM89" s="57">
        <v>1.3170925001688971</v>
      </c>
      <c r="BN89" s="57">
        <v>1.3311376825333241</v>
      </c>
      <c r="BO89" s="57">
        <v>1.4431494172377484</v>
      </c>
      <c r="BP89" s="57">
        <v>1.9144201025981431</v>
      </c>
      <c r="BQ89" s="57">
        <v>2.5688149726301219</v>
      </c>
      <c r="BR89" s="57">
        <v>2.5633710075907175</v>
      </c>
      <c r="BS89" s="57">
        <v>2.4963633225671344</v>
      </c>
      <c r="BT89" s="58">
        <v>2.2835024194677374</v>
      </c>
      <c r="BU89" s="58">
        <v>2.176771924856169</v>
      </c>
      <c r="BV89" s="58">
        <v>2.1410424373105741</v>
      </c>
      <c r="BW89" s="58">
        <v>2.0446700263401709</v>
      </c>
      <c r="BX89" s="58">
        <v>1.8035732784847056</v>
      </c>
      <c r="BY89" s="58">
        <v>1.8007200341628931</v>
      </c>
      <c r="BZ89" s="58">
        <v>1.7850386880508893</v>
      </c>
      <c r="CA89" s="58">
        <v>1.8504767629621739</v>
      </c>
      <c r="CB89" s="58">
        <v>2.0838669860865622</v>
      </c>
      <c r="CC89" s="58">
        <v>2.1786750175349709</v>
      </c>
      <c r="CD89" s="58">
        <v>2.1915794709514529</v>
      </c>
      <c r="CE89" s="58">
        <v>2.209158344230616</v>
      </c>
      <c r="CF89" s="58">
        <v>1.9919740244172885</v>
      </c>
      <c r="CG89" s="58">
        <v>1.9882230987671363</v>
      </c>
      <c r="CH89" s="58">
        <v>2.0121367430444792</v>
      </c>
      <c r="CI89" s="59">
        <v>1.9834298843357772</v>
      </c>
    </row>
    <row r="90" spans="1:87" ht="14" x14ac:dyDescent="0.2">
      <c r="A90" s="31"/>
      <c r="B90" s="25" t="s">
        <v>36</v>
      </c>
      <c r="C90" s="26" t="s">
        <v>37</v>
      </c>
      <c r="D90" s="66"/>
      <c r="E90" s="66"/>
      <c r="F90" s="66"/>
      <c r="G90" s="66"/>
      <c r="H90" s="61">
        <v>7.1089389422606502</v>
      </c>
      <c r="I90" s="61">
        <v>6.9273518774355125</v>
      </c>
      <c r="J90" s="61">
        <v>7.0989874003486904</v>
      </c>
      <c r="K90" s="61">
        <v>7.0305349862717321</v>
      </c>
      <c r="L90" s="61">
        <v>7.0200382222870701</v>
      </c>
      <c r="M90" s="61">
        <v>6.8176283252471279</v>
      </c>
      <c r="N90" s="61">
        <v>7.017553534975022</v>
      </c>
      <c r="O90" s="61">
        <v>6.8770729684908645</v>
      </c>
      <c r="P90" s="61">
        <v>4.8990959265152298</v>
      </c>
      <c r="Q90" s="61">
        <v>4.4433507562687851</v>
      </c>
      <c r="R90" s="61">
        <v>3.9414091849283608</v>
      </c>
      <c r="S90" s="61">
        <v>3.7676380739950304</v>
      </c>
      <c r="T90" s="61">
        <v>2.6902998264425975</v>
      </c>
      <c r="U90" s="61">
        <v>3.2765234054637347</v>
      </c>
      <c r="V90" s="61">
        <v>3.1507063104675694</v>
      </c>
      <c r="W90" s="61">
        <v>2.7990654205607655</v>
      </c>
      <c r="X90" s="61">
        <v>2.2898055953702254</v>
      </c>
      <c r="Y90" s="61">
        <v>2.4500534325747196</v>
      </c>
      <c r="Z90" s="61">
        <v>2.6069101798676115</v>
      </c>
      <c r="AA90" s="61">
        <v>3.0819582708304836</v>
      </c>
      <c r="AB90" s="61">
        <v>5.7619351296590509</v>
      </c>
      <c r="AC90" s="61">
        <v>6.0162138576624926</v>
      </c>
      <c r="AD90" s="61">
        <v>6.6530667782967612</v>
      </c>
      <c r="AE90" s="61">
        <v>7.0864752833267062</v>
      </c>
      <c r="AF90" s="61">
        <v>6.1491190741975288</v>
      </c>
      <c r="AG90" s="61">
        <v>5.7541096792228927</v>
      </c>
      <c r="AH90" s="61">
        <v>5.1465402343330027</v>
      </c>
      <c r="AI90" s="61">
        <v>4.8159281831658802</v>
      </c>
      <c r="AJ90" s="61">
        <v>2.8928995826048549</v>
      </c>
      <c r="AK90" s="61">
        <v>3.7280417234621694</v>
      </c>
      <c r="AL90" s="61">
        <v>4.4692796238876298</v>
      </c>
      <c r="AM90" s="61">
        <v>5.276288133262625</v>
      </c>
      <c r="AN90" s="61">
        <v>8.72379507726626</v>
      </c>
      <c r="AO90" s="61">
        <v>8.4149271999575745</v>
      </c>
      <c r="AP90" s="61">
        <v>7.9868416834852525</v>
      </c>
      <c r="AQ90" s="61">
        <v>7.2901311738473424</v>
      </c>
      <c r="AR90" s="61">
        <v>2.0377799029744921</v>
      </c>
      <c r="AS90" s="61">
        <v>1.101355043402009</v>
      </c>
      <c r="AT90" s="61">
        <v>1.0735343332214313</v>
      </c>
      <c r="AU90" s="61">
        <v>-0.18782608695651959</v>
      </c>
      <c r="AV90" s="61">
        <v>-3.0933399739173808</v>
      </c>
      <c r="AW90" s="61">
        <v>-2.689609978414893</v>
      </c>
      <c r="AX90" s="61">
        <v>-2.990132549623354</v>
      </c>
      <c r="AY90" s="61">
        <v>-2.4341371619738084</v>
      </c>
      <c r="AZ90" s="61">
        <v>0.27015068866691649</v>
      </c>
      <c r="BA90" s="61">
        <v>1.017874815586751</v>
      </c>
      <c r="BB90" s="61">
        <v>1.3834667353936965</v>
      </c>
      <c r="BC90" s="61">
        <v>1.455487097062246</v>
      </c>
      <c r="BD90" s="61">
        <v>3.3595173765837814</v>
      </c>
      <c r="BE90" s="61">
        <v>3.8388133679397356</v>
      </c>
      <c r="BF90" s="61">
        <v>3.9334160396411875</v>
      </c>
      <c r="BG90" s="61">
        <v>3.9711318429853861</v>
      </c>
      <c r="BH90" s="61">
        <v>3.9295291606677978</v>
      </c>
      <c r="BI90" s="61">
        <v>4.0074960555256638</v>
      </c>
      <c r="BJ90" s="61">
        <v>3.8819223219029197</v>
      </c>
      <c r="BK90" s="61">
        <v>3.4469915010327554</v>
      </c>
      <c r="BL90" s="61">
        <v>1.2029102929265463</v>
      </c>
      <c r="BM90" s="61">
        <v>-5.8045426706609504</v>
      </c>
      <c r="BN90" s="61">
        <v>-6.623365985369972</v>
      </c>
      <c r="BO90" s="61">
        <v>-5.7903178292036301</v>
      </c>
      <c r="BP90" s="61">
        <v>1.0807251743163704</v>
      </c>
      <c r="BQ90" s="61">
        <v>7.3667100814709414</v>
      </c>
      <c r="BR90" s="61">
        <v>9.258979822712547</v>
      </c>
      <c r="BS90" s="61">
        <v>9.7335140018066824</v>
      </c>
      <c r="BT90" s="62">
        <v>8.6057534475279027</v>
      </c>
      <c r="BU90" s="62">
        <v>10.831750697671751</v>
      </c>
      <c r="BV90" s="62">
        <v>9.568312328741797</v>
      </c>
      <c r="BW90" s="62">
        <v>7.8601168331565674</v>
      </c>
      <c r="BX90" s="62">
        <v>3.4422297830343922</v>
      </c>
      <c r="BY90" s="62">
        <v>2.4051879787477617</v>
      </c>
      <c r="BZ90" s="62">
        <v>1.9452721229913976</v>
      </c>
      <c r="CA90" s="62">
        <v>1.9153995185815802</v>
      </c>
      <c r="CB90" s="62">
        <v>-0.41466837791533351</v>
      </c>
      <c r="CC90" s="62">
        <v>-0.3959978607680199</v>
      </c>
      <c r="CD90" s="62">
        <v>-0.42921654092070582</v>
      </c>
      <c r="CE90" s="62">
        <v>-0.41908492590405899</v>
      </c>
      <c r="CF90" s="62">
        <v>1.1671912355073317</v>
      </c>
      <c r="CG90" s="62">
        <v>1.3680362906782761</v>
      </c>
      <c r="CH90" s="62">
        <v>1.3000009417411178</v>
      </c>
      <c r="CI90" s="63">
        <v>1.3415756028416439</v>
      </c>
    </row>
    <row r="91" spans="1:87" ht="28" x14ac:dyDescent="0.2">
      <c r="A91" s="32"/>
      <c r="B91" s="20" t="s">
        <v>38</v>
      </c>
      <c r="C91" s="21" t="s">
        <v>39</v>
      </c>
      <c r="D91" s="67"/>
      <c r="E91" s="67"/>
      <c r="F91" s="67"/>
      <c r="G91" s="67"/>
      <c r="H91" s="57">
        <v>3.6884002438829668</v>
      </c>
      <c r="I91" s="57">
        <v>3.4755060957162129</v>
      </c>
      <c r="J91" s="57">
        <v>4.0012935638272182</v>
      </c>
      <c r="K91" s="57">
        <v>4.6177404399988689</v>
      </c>
      <c r="L91" s="57">
        <v>3.4305123739886341</v>
      </c>
      <c r="M91" s="57">
        <v>3.5808901819023475</v>
      </c>
      <c r="N91" s="57">
        <v>3.944419179892293</v>
      </c>
      <c r="O91" s="57">
        <v>4.0889497643314741</v>
      </c>
      <c r="P91" s="57">
        <v>3.8501328830136998</v>
      </c>
      <c r="Q91" s="57">
        <v>3.9705840971139281</v>
      </c>
      <c r="R91" s="57">
        <v>2.8921595154810973</v>
      </c>
      <c r="S91" s="57">
        <v>2.1325179967489873</v>
      </c>
      <c r="T91" s="57">
        <v>1.4916597883209022</v>
      </c>
      <c r="U91" s="57">
        <v>2.036462197172483</v>
      </c>
      <c r="V91" s="57">
        <v>2.6626032313942858</v>
      </c>
      <c r="W91" s="57">
        <v>3.0492503189460223</v>
      </c>
      <c r="X91" s="57">
        <v>5.0258205250087258</v>
      </c>
      <c r="Y91" s="57">
        <v>4.7533375602932182</v>
      </c>
      <c r="Z91" s="57">
        <v>4.3315249698030982</v>
      </c>
      <c r="AA91" s="57">
        <v>4.6346575795835037</v>
      </c>
      <c r="AB91" s="57">
        <v>5.7421810019525878</v>
      </c>
      <c r="AC91" s="57">
        <v>5.4255585984841304</v>
      </c>
      <c r="AD91" s="57">
        <v>5.5100096145834812</v>
      </c>
      <c r="AE91" s="57">
        <v>5.7437735760642852</v>
      </c>
      <c r="AF91" s="57">
        <v>5.051624854005766</v>
      </c>
      <c r="AG91" s="57">
        <v>5.2703493581673087</v>
      </c>
      <c r="AH91" s="57">
        <v>5.5189523581780122</v>
      </c>
      <c r="AI91" s="57">
        <v>5.5591868387525665</v>
      </c>
      <c r="AJ91" s="57">
        <v>3.9258644155421507</v>
      </c>
      <c r="AK91" s="57">
        <v>5.0811717517445913</v>
      </c>
      <c r="AL91" s="57">
        <v>5.3734816583969973</v>
      </c>
      <c r="AM91" s="57">
        <v>5.5078030708521055</v>
      </c>
      <c r="AN91" s="57">
        <v>6.6419332464268592</v>
      </c>
      <c r="AO91" s="57">
        <v>5.5089587600984515</v>
      </c>
      <c r="AP91" s="57">
        <v>5.6421559087445985</v>
      </c>
      <c r="AQ91" s="57">
        <v>5.8459579632153265</v>
      </c>
      <c r="AR91" s="57">
        <v>5.9336126605919333</v>
      </c>
      <c r="AS91" s="57">
        <v>6.7660851115747107</v>
      </c>
      <c r="AT91" s="57">
        <v>7.8625007387907573</v>
      </c>
      <c r="AU91" s="57">
        <v>5.3276069468461031</v>
      </c>
      <c r="AV91" s="57">
        <v>1.8565461845799973</v>
      </c>
      <c r="AW91" s="57">
        <v>3.2363179027317273</v>
      </c>
      <c r="AX91" s="57">
        <v>2.3844707648520824</v>
      </c>
      <c r="AY91" s="57">
        <v>3.676936391944821</v>
      </c>
      <c r="AZ91" s="57">
        <v>3.2077996575060155</v>
      </c>
      <c r="BA91" s="57">
        <v>3.3934686286760893</v>
      </c>
      <c r="BB91" s="57">
        <v>3.315715744122798</v>
      </c>
      <c r="BC91" s="57">
        <v>3.4630544415566504</v>
      </c>
      <c r="BD91" s="57">
        <v>3.9933331285980813</v>
      </c>
      <c r="BE91" s="57">
        <v>4.6772041016145636</v>
      </c>
      <c r="BF91" s="57">
        <v>4.7375627739764496</v>
      </c>
      <c r="BG91" s="57">
        <v>4.736237959774428</v>
      </c>
      <c r="BH91" s="57">
        <v>4.7735893507228582</v>
      </c>
      <c r="BI91" s="57">
        <v>5.1853093403135091</v>
      </c>
      <c r="BJ91" s="57">
        <v>5.2513710279262398</v>
      </c>
      <c r="BK91" s="57">
        <v>5.0962546459544456</v>
      </c>
      <c r="BL91" s="57">
        <v>1.1326757652199575</v>
      </c>
      <c r="BM91" s="57">
        <v>-0.72240864371462976</v>
      </c>
      <c r="BN91" s="57">
        <v>-1.0963183857594174</v>
      </c>
      <c r="BO91" s="57">
        <v>0.30906878858635878</v>
      </c>
      <c r="BP91" s="57">
        <v>6.8389475837746971</v>
      </c>
      <c r="BQ91" s="57">
        <v>8.5726268559568837</v>
      </c>
      <c r="BR91" s="57">
        <v>9.2413139452084465</v>
      </c>
      <c r="BS91" s="57">
        <v>8.4615268716759005</v>
      </c>
      <c r="BT91" s="58">
        <v>3.4447725743428776</v>
      </c>
      <c r="BU91" s="58">
        <v>4.5632251543792108</v>
      </c>
      <c r="BV91" s="58">
        <v>2.6162905964183949</v>
      </c>
      <c r="BW91" s="58">
        <v>1.1217303124174975</v>
      </c>
      <c r="BX91" s="58">
        <v>0.43990745266751219</v>
      </c>
      <c r="BY91" s="58">
        <v>2.7529815398922892</v>
      </c>
      <c r="BZ91" s="58">
        <v>4.2687783266466539</v>
      </c>
      <c r="CA91" s="58">
        <v>4.9337518631215289</v>
      </c>
      <c r="CB91" s="58">
        <v>5.7805566996148343</v>
      </c>
      <c r="CC91" s="58">
        <v>5.0200993672679317</v>
      </c>
      <c r="CD91" s="58">
        <v>3.8154157529388044</v>
      </c>
      <c r="CE91" s="58">
        <v>4.0635718587175802</v>
      </c>
      <c r="CF91" s="58">
        <v>3.6154903816647987</v>
      </c>
      <c r="CG91" s="58">
        <v>2.5832170523962645</v>
      </c>
      <c r="CH91" s="58">
        <v>4.3659472490360542</v>
      </c>
      <c r="CI91" s="59">
        <v>4.4888637919443966</v>
      </c>
    </row>
    <row r="92" spans="1:87" ht="42" x14ac:dyDescent="0.2">
      <c r="A92" s="24"/>
      <c r="B92" s="25" t="s">
        <v>40</v>
      </c>
      <c r="C92" s="26" t="s">
        <v>41</v>
      </c>
      <c r="D92" s="65"/>
      <c r="E92" s="65"/>
      <c r="F92" s="65"/>
      <c r="G92" s="65"/>
      <c r="H92" s="61">
        <v>5.3950415698158025</v>
      </c>
      <c r="I92" s="61">
        <v>5.9853202608857003</v>
      </c>
      <c r="J92" s="61">
        <v>5.6979013239562164</v>
      </c>
      <c r="K92" s="61">
        <v>5.0720100187852353</v>
      </c>
      <c r="L92" s="61">
        <v>5.3579122212326098</v>
      </c>
      <c r="M92" s="61">
        <v>4.881630105682234</v>
      </c>
      <c r="N92" s="61">
        <v>4.6050190021130817</v>
      </c>
      <c r="O92" s="61">
        <v>5.2964839094159686</v>
      </c>
      <c r="P92" s="61">
        <v>3.861716318553249</v>
      </c>
      <c r="Q92" s="61">
        <v>3.4576488563141936</v>
      </c>
      <c r="R92" s="61">
        <v>3.505596253593481</v>
      </c>
      <c r="S92" s="61">
        <v>2.992571630703921</v>
      </c>
      <c r="T92" s="61">
        <v>1.3831429593869728</v>
      </c>
      <c r="U92" s="61">
        <v>1.912032394999045</v>
      </c>
      <c r="V92" s="61">
        <v>1.9235392218020593</v>
      </c>
      <c r="W92" s="61">
        <v>2.3286165682099238</v>
      </c>
      <c r="X92" s="61">
        <v>3.6782710460439034</v>
      </c>
      <c r="Y92" s="61">
        <v>2.6967252809516111</v>
      </c>
      <c r="Z92" s="61">
        <v>2.6913249283606433</v>
      </c>
      <c r="AA92" s="61">
        <v>2.4300194670067867</v>
      </c>
      <c r="AB92" s="61">
        <v>3.7840695961654234</v>
      </c>
      <c r="AC92" s="61">
        <v>5.2808674417465795</v>
      </c>
      <c r="AD92" s="61">
        <v>6.3039627441704909</v>
      </c>
      <c r="AE92" s="61">
        <v>6.0882102365816877</v>
      </c>
      <c r="AF92" s="61">
        <v>3.5398668808629878</v>
      </c>
      <c r="AG92" s="61">
        <v>2.5132552124151175</v>
      </c>
      <c r="AH92" s="61">
        <v>3.2938181312749464</v>
      </c>
      <c r="AI92" s="61">
        <v>3.0207561156412055</v>
      </c>
      <c r="AJ92" s="61">
        <v>5.0357788623797148</v>
      </c>
      <c r="AK92" s="61">
        <v>5.6147892433785671</v>
      </c>
      <c r="AL92" s="61">
        <v>5.1224313637951724</v>
      </c>
      <c r="AM92" s="61">
        <v>6.2421298794747173</v>
      </c>
      <c r="AN92" s="61">
        <v>6.0245813995376807</v>
      </c>
      <c r="AO92" s="61">
        <v>3.5508859109207265</v>
      </c>
      <c r="AP92" s="61">
        <v>3.2289136064322861</v>
      </c>
      <c r="AQ92" s="61">
        <v>2.7768371147984965</v>
      </c>
      <c r="AR92" s="61">
        <v>2.1817329739851345</v>
      </c>
      <c r="AS92" s="61">
        <v>3.4375707881747957</v>
      </c>
      <c r="AT92" s="61">
        <v>3.7180101120947882</v>
      </c>
      <c r="AU92" s="61">
        <v>4.2394288852279089</v>
      </c>
      <c r="AV92" s="61">
        <v>5.9962699879561967</v>
      </c>
      <c r="AW92" s="61">
        <v>6.4312655593470112</v>
      </c>
      <c r="AX92" s="61">
        <v>6.0508410810466273</v>
      </c>
      <c r="AY92" s="61">
        <v>5.5420925086924484</v>
      </c>
      <c r="AZ92" s="61">
        <v>2.9706213959353391</v>
      </c>
      <c r="BA92" s="61">
        <v>2.4155137002874341</v>
      </c>
      <c r="BB92" s="61">
        <v>2.1466316109809895</v>
      </c>
      <c r="BC92" s="61">
        <v>2.1064190875511599</v>
      </c>
      <c r="BD92" s="61">
        <v>-2.4420251389980336</v>
      </c>
      <c r="BE92" s="61">
        <v>-9.64907761036784E-2</v>
      </c>
      <c r="BF92" s="61">
        <v>0.72140255606016979</v>
      </c>
      <c r="BG92" s="61">
        <v>2.2927258506061747</v>
      </c>
      <c r="BH92" s="61">
        <v>12.362024951213385</v>
      </c>
      <c r="BI92" s="61">
        <v>13.800874093378795</v>
      </c>
      <c r="BJ92" s="61">
        <v>13.609433103206769</v>
      </c>
      <c r="BK92" s="61">
        <v>13.037037037037052</v>
      </c>
      <c r="BL92" s="61">
        <v>3.7705102741406336</v>
      </c>
      <c r="BM92" s="61">
        <v>-15.651817674146116</v>
      </c>
      <c r="BN92" s="61">
        <v>-14.061680921836384</v>
      </c>
      <c r="BO92" s="61">
        <v>-11.787088318606536</v>
      </c>
      <c r="BP92" s="61">
        <v>9.4581520312966774</v>
      </c>
      <c r="BQ92" s="61">
        <v>36.630239580612624</v>
      </c>
      <c r="BR92" s="61">
        <v>35.612568981590385</v>
      </c>
      <c r="BS92" s="61">
        <v>34.426072369997627</v>
      </c>
      <c r="BT92" s="62">
        <v>30.373448652013423</v>
      </c>
      <c r="BU92" s="62">
        <v>26.948980847189816</v>
      </c>
      <c r="BV92" s="62">
        <v>26.447919580083592</v>
      </c>
      <c r="BW92" s="62">
        <v>28.108956075299488</v>
      </c>
      <c r="BX92" s="62">
        <v>15.137450016538139</v>
      </c>
      <c r="BY92" s="62">
        <v>14.219945455609675</v>
      </c>
      <c r="BZ92" s="62">
        <v>12.922923764891124</v>
      </c>
      <c r="CA92" s="62">
        <v>10.377936101525108</v>
      </c>
      <c r="CB92" s="62">
        <v>6.1710308507708902</v>
      </c>
      <c r="CC92" s="62">
        <v>8.5509626573212074</v>
      </c>
      <c r="CD92" s="62">
        <v>9.5542148184284201</v>
      </c>
      <c r="CE92" s="62">
        <v>8.1919265777464148</v>
      </c>
      <c r="CF92" s="62">
        <v>15.581151148150354</v>
      </c>
      <c r="CG92" s="62">
        <v>11.52362966456235</v>
      </c>
      <c r="CH92" s="62">
        <v>9.2883402288770611</v>
      </c>
      <c r="CI92" s="63">
        <v>9.8935850823077516</v>
      </c>
    </row>
    <row r="93" spans="1:87" ht="14" x14ac:dyDescent="0.2">
      <c r="A93" s="32" t="s">
        <v>42</v>
      </c>
      <c r="B93" s="33"/>
      <c r="C93" s="34" t="s">
        <v>43</v>
      </c>
      <c r="D93" s="64"/>
      <c r="E93" s="64"/>
      <c r="F93" s="64"/>
      <c r="G93" s="64"/>
      <c r="H93" s="68">
        <v>5.5624400115915904</v>
      </c>
      <c r="I93" s="68">
        <v>5.0740651533512278</v>
      </c>
      <c r="J93" s="68">
        <v>5.8741924357454565</v>
      </c>
      <c r="K93" s="68">
        <v>6.1974423253895168</v>
      </c>
      <c r="L93" s="68">
        <v>6.3374610068785273</v>
      </c>
      <c r="M93" s="68">
        <v>6.5041175645545763</v>
      </c>
      <c r="N93" s="68">
        <v>6.3455175470996465</v>
      </c>
      <c r="O93" s="68">
        <v>6.3080937867288327</v>
      </c>
      <c r="P93" s="68">
        <v>4.7617094047030122</v>
      </c>
      <c r="Q93" s="68">
        <v>4.6596426180842485</v>
      </c>
      <c r="R93" s="68">
        <v>4.1887112127641331</v>
      </c>
      <c r="S93" s="68">
        <v>3.0931911193727899</v>
      </c>
      <c r="T93" s="68">
        <v>0.17553246089238428</v>
      </c>
      <c r="U93" s="68">
        <v>0.56868123123959435</v>
      </c>
      <c r="V93" s="68">
        <v>0.73314034958391971</v>
      </c>
      <c r="W93" s="68">
        <v>1.4159440020502956</v>
      </c>
      <c r="X93" s="68">
        <v>4.0015153314987799</v>
      </c>
      <c r="Y93" s="68">
        <v>4.2563172429733527</v>
      </c>
      <c r="Z93" s="68">
        <v>4.0578850163553568</v>
      </c>
      <c r="AA93" s="68">
        <v>4.3336983581054369</v>
      </c>
      <c r="AB93" s="68">
        <v>6.5291046991698494</v>
      </c>
      <c r="AC93" s="68">
        <v>6.4793526274902433</v>
      </c>
      <c r="AD93" s="68">
        <v>6.8558949001349418</v>
      </c>
      <c r="AE93" s="68">
        <v>6.6168727764960806</v>
      </c>
      <c r="AF93" s="68">
        <v>5.9927529623075202</v>
      </c>
      <c r="AG93" s="68">
        <v>5.4201080370403787</v>
      </c>
      <c r="AH93" s="68">
        <v>4.3025411313375912</v>
      </c>
      <c r="AI93" s="68">
        <v>3.8546560713572404</v>
      </c>
      <c r="AJ93" s="68">
        <v>2.4224930867963224</v>
      </c>
      <c r="AK93" s="68">
        <v>3.9996370458794672</v>
      </c>
      <c r="AL93" s="68">
        <v>4.8665088881486298</v>
      </c>
      <c r="AM93" s="68">
        <v>5.3135704711314133</v>
      </c>
      <c r="AN93" s="68">
        <v>6.654792705600741</v>
      </c>
      <c r="AO93" s="68">
        <v>4.8945407762894604</v>
      </c>
      <c r="AP93" s="68">
        <v>4.665812398241215</v>
      </c>
      <c r="AQ93" s="68">
        <v>4.4053999110228403</v>
      </c>
      <c r="AR93" s="68">
        <v>2.8354347372626023</v>
      </c>
      <c r="AS93" s="68">
        <v>3.2619073665544676</v>
      </c>
      <c r="AT93" s="68">
        <v>3.415134431288422</v>
      </c>
      <c r="AU93" s="68">
        <v>3.0776133681184916</v>
      </c>
      <c r="AV93" s="68">
        <v>2.468656737272994</v>
      </c>
      <c r="AW93" s="68">
        <v>2.4027299522303878</v>
      </c>
      <c r="AX93" s="68">
        <v>2.0480940470768019</v>
      </c>
      <c r="AY93" s="68">
        <v>2.1889197487348468</v>
      </c>
      <c r="AZ93" s="68">
        <v>1.1868087434819756</v>
      </c>
      <c r="BA93" s="68">
        <v>1.2560900252565688</v>
      </c>
      <c r="BB93" s="68">
        <v>1.4153416668517593</v>
      </c>
      <c r="BC93" s="68">
        <v>1.3852014777625783</v>
      </c>
      <c r="BD93" s="68">
        <v>1.5856200401360212</v>
      </c>
      <c r="BE93" s="68">
        <v>2.1185451567477003</v>
      </c>
      <c r="BF93" s="68">
        <v>2.3724609748401662</v>
      </c>
      <c r="BG93" s="68">
        <v>2.5146820809248425</v>
      </c>
      <c r="BH93" s="68">
        <v>3.5038833218915926</v>
      </c>
      <c r="BI93" s="68">
        <v>3.2590160195831146</v>
      </c>
      <c r="BJ93" s="68">
        <v>3.1486597166889823</v>
      </c>
      <c r="BK93" s="68">
        <v>3.0681472545714144</v>
      </c>
      <c r="BL93" s="68">
        <v>0.12912182121689852</v>
      </c>
      <c r="BM93" s="68">
        <v>-8.4097754135039793</v>
      </c>
      <c r="BN93" s="68">
        <v>-8.6771078248344224</v>
      </c>
      <c r="BO93" s="68">
        <v>-7.2957332246278099</v>
      </c>
      <c r="BP93" s="68">
        <v>1.3973481371819503</v>
      </c>
      <c r="BQ93" s="68">
        <v>8.9874359745923442</v>
      </c>
      <c r="BR93" s="68">
        <v>10.286553518618049</v>
      </c>
      <c r="BS93" s="68">
        <v>10.302561882139671</v>
      </c>
      <c r="BT93" s="69">
        <v>7.2186327801186962</v>
      </c>
      <c r="BU93" s="69">
        <v>9.3803023363556122</v>
      </c>
      <c r="BV93" s="69">
        <v>8.2955841069546778</v>
      </c>
      <c r="BW93" s="69">
        <v>6.4155382641861962</v>
      </c>
      <c r="BX93" s="69">
        <v>2.6797541905934565</v>
      </c>
      <c r="BY93" s="69">
        <v>1.6598848089661971</v>
      </c>
      <c r="BZ93" s="69">
        <v>1.1758031289285356</v>
      </c>
      <c r="CA93" s="69">
        <v>1.2203922722278975</v>
      </c>
      <c r="CB93" s="69">
        <v>0.58724509828761029</v>
      </c>
      <c r="CC93" s="69">
        <v>1.2153141578498179</v>
      </c>
      <c r="CD93" s="69">
        <v>1.3549508502547951</v>
      </c>
      <c r="CE93" s="69">
        <v>1.6005322240790747</v>
      </c>
      <c r="CF93" s="69">
        <v>2.6321967010263876</v>
      </c>
      <c r="CG93" s="69">
        <v>2.3487548402648883</v>
      </c>
      <c r="CH93" s="69">
        <v>2.8060229475871807</v>
      </c>
      <c r="CI93" s="70">
        <v>2.6596975117357431</v>
      </c>
    </row>
    <row r="94" spans="1:87" ht="14" x14ac:dyDescent="0.2">
      <c r="A94" s="24" t="s">
        <v>44</v>
      </c>
      <c r="B94" s="39"/>
      <c r="C94" s="26" t="s">
        <v>45</v>
      </c>
      <c r="D94" s="60"/>
      <c r="E94" s="60"/>
      <c r="F94" s="60"/>
      <c r="G94" s="60"/>
      <c r="H94" s="61">
        <v>15.194095165562899</v>
      </c>
      <c r="I94" s="61">
        <v>13.86515566586688</v>
      </c>
      <c r="J94" s="61">
        <v>12.575978238119177</v>
      </c>
      <c r="K94" s="61">
        <v>11.997648442092881</v>
      </c>
      <c r="L94" s="61">
        <v>10.470310834763907</v>
      </c>
      <c r="M94" s="61">
        <v>9.5745645076266328</v>
      </c>
      <c r="N94" s="61">
        <v>11.328008407465646</v>
      </c>
      <c r="O94" s="61">
        <v>10.888781573477232</v>
      </c>
      <c r="P94" s="61">
        <v>9.1532671407001658</v>
      </c>
      <c r="Q94" s="61">
        <v>7.9961548036285706</v>
      </c>
      <c r="R94" s="61">
        <v>6.4274073024068485</v>
      </c>
      <c r="S94" s="61">
        <v>5.0896559559199659</v>
      </c>
      <c r="T94" s="61">
        <v>-0.26213163212453594</v>
      </c>
      <c r="U94" s="61">
        <v>-1.1028809263565762</v>
      </c>
      <c r="V94" s="61">
        <v>-2.2469685044408152</v>
      </c>
      <c r="W94" s="61">
        <v>-1.5963676330156176</v>
      </c>
      <c r="X94" s="61">
        <v>2.6735919589496575</v>
      </c>
      <c r="Y94" s="61">
        <v>4.324203708829998</v>
      </c>
      <c r="Z94" s="61">
        <v>5.5259294710692188</v>
      </c>
      <c r="AA94" s="61">
        <v>6.2089169642039792</v>
      </c>
      <c r="AB94" s="61">
        <v>9.6542757688332017</v>
      </c>
      <c r="AC94" s="61">
        <v>10.041456973602521</v>
      </c>
      <c r="AD94" s="61">
        <v>10.510034877959626</v>
      </c>
      <c r="AE94" s="61">
        <v>10.335137744371266</v>
      </c>
      <c r="AF94" s="61">
        <v>7.5748320661537036</v>
      </c>
      <c r="AG94" s="61">
        <v>6.0634522994366051</v>
      </c>
      <c r="AH94" s="61">
        <v>4.9289070557326795</v>
      </c>
      <c r="AI94" s="61">
        <v>4.4874298839080495</v>
      </c>
      <c r="AJ94" s="61">
        <v>1.9280067394823419</v>
      </c>
      <c r="AK94" s="61">
        <v>2.790968927676289</v>
      </c>
      <c r="AL94" s="61">
        <v>2.9329108351321196</v>
      </c>
      <c r="AM94" s="61">
        <v>3.3227161933815097</v>
      </c>
      <c r="AN94" s="61">
        <v>6.0107080531538912</v>
      </c>
      <c r="AO94" s="61">
        <v>5.7810301064146614</v>
      </c>
      <c r="AP94" s="61">
        <v>5.8623378277502809</v>
      </c>
      <c r="AQ94" s="61">
        <v>5.5054634922932166</v>
      </c>
      <c r="AR94" s="61">
        <v>2.8181716363605602</v>
      </c>
      <c r="AS94" s="61">
        <v>1.7812587438604197</v>
      </c>
      <c r="AT94" s="61">
        <v>1.9335665339439885</v>
      </c>
      <c r="AU94" s="61">
        <v>1.7147011618815071</v>
      </c>
      <c r="AV94" s="61">
        <v>1.4505670698223838</v>
      </c>
      <c r="AW94" s="61">
        <v>0.71114798222457409</v>
      </c>
      <c r="AX94" s="61">
        <v>1.6259564371270585</v>
      </c>
      <c r="AY94" s="61">
        <v>1.0870004989952662</v>
      </c>
      <c r="AZ94" s="61">
        <v>-0.14096540553171621</v>
      </c>
      <c r="BA94" s="61">
        <v>0.26940234228977999</v>
      </c>
      <c r="BB94" s="61">
        <v>0.64090852193380954</v>
      </c>
      <c r="BC94" s="61">
        <v>1.0913214595423852</v>
      </c>
      <c r="BD94" s="61">
        <v>2.3253163998431887</v>
      </c>
      <c r="BE94" s="61">
        <v>3.1361049657173226</v>
      </c>
      <c r="BF94" s="61">
        <v>3.1345048504274331</v>
      </c>
      <c r="BG94" s="61">
        <v>3.0551779657662053</v>
      </c>
      <c r="BH94" s="61">
        <v>3.1945520965722665</v>
      </c>
      <c r="BI94" s="61">
        <v>3.3946926169574851</v>
      </c>
      <c r="BJ94" s="61">
        <v>3.9438614566950463</v>
      </c>
      <c r="BK94" s="61">
        <v>4.3553426902981158</v>
      </c>
      <c r="BL94" s="61">
        <v>2.5022170294774781</v>
      </c>
      <c r="BM94" s="61">
        <v>-7.5353927038800776</v>
      </c>
      <c r="BN94" s="61">
        <v>-7.7218114824072615</v>
      </c>
      <c r="BO94" s="61">
        <v>-6.1345703101032001</v>
      </c>
      <c r="BP94" s="61">
        <v>2.469999178147205</v>
      </c>
      <c r="BQ94" s="61">
        <v>12.628984130868787</v>
      </c>
      <c r="BR94" s="61">
        <v>14.796021796892404</v>
      </c>
      <c r="BS94" s="61">
        <v>15.884429337168243</v>
      </c>
      <c r="BT94" s="62">
        <v>17.089036354608524</v>
      </c>
      <c r="BU94" s="62">
        <v>18.909305972851968</v>
      </c>
      <c r="BV94" s="62">
        <v>18.592578687245663</v>
      </c>
      <c r="BW94" s="62">
        <v>16.042418772563181</v>
      </c>
      <c r="BX94" s="62">
        <v>3.9394114786833256</v>
      </c>
      <c r="BY94" s="62">
        <v>0.81469371439291649</v>
      </c>
      <c r="BZ94" s="62">
        <v>-1.7972907641899809</v>
      </c>
      <c r="CA94" s="62">
        <v>-2.5140968306435951</v>
      </c>
      <c r="CB94" s="62">
        <v>-2.1660272104710288</v>
      </c>
      <c r="CC94" s="62">
        <v>-1.3860215518625978</v>
      </c>
      <c r="CD94" s="62">
        <v>-0.43113610093821819</v>
      </c>
      <c r="CE94" s="62">
        <v>0.49963101102979124</v>
      </c>
      <c r="CF94" s="62">
        <v>2.1824589744524019</v>
      </c>
      <c r="CG94" s="62">
        <v>2.3306576385579518</v>
      </c>
      <c r="CH94" s="62">
        <v>2.4716621510751935</v>
      </c>
      <c r="CI94" s="63">
        <v>2.4730156825394118</v>
      </c>
    </row>
    <row r="95" spans="1:87" ht="14" x14ac:dyDescent="0.2">
      <c r="A95" s="40" t="s">
        <v>42</v>
      </c>
      <c r="B95" s="41"/>
      <c r="C95" s="42" t="s">
        <v>46</v>
      </c>
      <c r="D95" s="71"/>
      <c r="E95" s="71"/>
      <c r="F95" s="71"/>
      <c r="G95" s="71"/>
      <c r="H95" s="72">
        <v>6.3755741455926511</v>
      </c>
      <c r="I95" s="72">
        <v>5.8398307574499881</v>
      </c>
      <c r="J95" s="72">
        <v>6.4635790142163216</v>
      </c>
      <c r="K95" s="72">
        <v>6.7168686984440313</v>
      </c>
      <c r="L95" s="72">
        <v>6.7128663746102148</v>
      </c>
      <c r="M95" s="72">
        <v>6.7880533956449653</v>
      </c>
      <c r="N95" s="72">
        <v>6.8111415154858577</v>
      </c>
      <c r="O95" s="72">
        <v>6.7381946909097508</v>
      </c>
      <c r="P95" s="72">
        <v>5.1743786969130383</v>
      </c>
      <c r="Q95" s="72">
        <v>4.9771747033429392</v>
      </c>
      <c r="R95" s="72">
        <v>4.400739468614546</v>
      </c>
      <c r="S95" s="72">
        <v>3.2834461861654063</v>
      </c>
      <c r="T95" s="72">
        <v>0.14508701496795595</v>
      </c>
      <c r="U95" s="72">
        <v>0.42348682082662492</v>
      </c>
      <c r="V95" s="72">
        <v>0.46095764968984554</v>
      </c>
      <c r="W95" s="72">
        <v>1.1396486454806336</v>
      </c>
      <c r="X95" s="72">
        <v>3.8803501804015781</v>
      </c>
      <c r="Y95" s="72">
        <v>4.2578885758638592</v>
      </c>
      <c r="Z95" s="72">
        <v>4.1854153019589688</v>
      </c>
      <c r="AA95" s="72">
        <v>4.4946589707092244</v>
      </c>
      <c r="AB95" s="72">
        <v>6.7991976972209329</v>
      </c>
      <c r="AC95" s="72">
        <v>6.7907430821515931</v>
      </c>
      <c r="AD95" s="72">
        <v>7.1785509222384718</v>
      </c>
      <c r="AE95" s="72">
        <v>6.9478919817355376</v>
      </c>
      <c r="AF95" s="72">
        <v>6.135156113255988</v>
      </c>
      <c r="AG95" s="72">
        <v>5.4789254541778973</v>
      </c>
      <c r="AH95" s="72">
        <v>4.3597382970604883</v>
      </c>
      <c r="AI95" s="72">
        <v>3.9126357671611629</v>
      </c>
      <c r="AJ95" s="72">
        <v>2.3818401066837254</v>
      </c>
      <c r="AK95" s="72">
        <v>3.8955174679819606</v>
      </c>
      <c r="AL95" s="72">
        <v>4.6939145809717502</v>
      </c>
      <c r="AM95" s="72">
        <v>5.1339935199567179</v>
      </c>
      <c r="AN95" s="72">
        <v>6.6000142839710776</v>
      </c>
      <c r="AO95" s="72">
        <v>4.9707735829889259</v>
      </c>
      <c r="AP95" s="72">
        <v>4.7693931868114277</v>
      </c>
      <c r="AQ95" s="72">
        <v>4.4990300011096878</v>
      </c>
      <c r="AR95" s="72">
        <v>2.828076886173946</v>
      </c>
      <c r="AS95" s="72">
        <v>3.1285568693342185</v>
      </c>
      <c r="AT95" s="72">
        <v>3.2819408355032778</v>
      </c>
      <c r="AU95" s="72">
        <v>2.9559013752752321</v>
      </c>
      <c r="AV95" s="72">
        <v>2.3747843586882027</v>
      </c>
      <c r="AW95" s="72">
        <v>2.2466521318059733</v>
      </c>
      <c r="AX95" s="72">
        <v>2.0092354626776796</v>
      </c>
      <c r="AY95" s="72">
        <v>2.0873825016279426</v>
      </c>
      <c r="AZ95" s="72">
        <v>1.0694631972319826</v>
      </c>
      <c r="BA95" s="72">
        <v>1.170940418982866</v>
      </c>
      <c r="BB95" s="72">
        <v>1.3487500644575618</v>
      </c>
      <c r="BC95" s="72">
        <v>1.3593608678874602</v>
      </c>
      <c r="BD95" s="72">
        <v>1.6492417488619253</v>
      </c>
      <c r="BE95" s="72">
        <v>2.2065152411030624</v>
      </c>
      <c r="BF95" s="72">
        <v>2.4382593035617788</v>
      </c>
      <c r="BG95" s="72">
        <v>2.5643242827770365</v>
      </c>
      <c r="BH95" s="72">
        <v>3.4755274143507364</v>
      </c>
      <c r="BI95" s="72">
        <v>3.271449902158821</v>
      </c>
      <c r="BJ95" s="72">
        <v>3.2215703792508634</v>
      </c>
      <c r="BK95" s="72">
        <v>3.1868553924553567</v>
      </c>
      <c r="BL95" s="72">
        <v>0.34608976169481309</v>
      </c>
      <c r="BM95" s="72">
        <v>-8.3304749265752776</v>
      </c>
      <c r="BN95" s="72">
        <v>-8.5890432034410225</v>
      </c>
      <c r="BO95" s="72">
        <v>-7.1859141376086058</v>
      </c>
      <c r="BP95" s="72">
        <v>1.4997003938947273</v>
      </c>
      <c r="BQ95" s="72">
        <v>9.3208752575319096</v>
      </c>
      <c r="BR95" s="72">
        <v>10.693916314077939</v>
      </c>
      <c r="BS95" s="72">
        <v>10.801198190487838</v>
      </c>
      <c r="BT95" s="73">
        <v>8.1051367162309589</v>
      </c>
      <c r="BU95" s="73">
        <v>10.248386551150432</v>
      </c>
      <c r="BV95" s="73">
        <v>9.2485339798360258</v>
      </c>
      <c r="BW95" s="73">
        <v>7.3282772942797862</v>
      </c>
      <c r="BX95" s="73">
        <v>2.8075118927961569</v>
      </c>
      <c r="BY95" s="73">
        <v>1.5817590080784214</v>
      </c>
      <c r="BZ95" s="73">
        <v>0.88147833436782719</v>
      </c>
      <c r="CA95" s="73">
        <v>0.84181955575203915</v>
      </c>
      <c r="CB95" s="73">
        <v>0.31878092683700743</v>
      </c>
      <c r="CC95" s="73">
        <v>0.96497071444711935</v>
      </c>
      <c r="CD95" s="73">
        <v>1.1832539934157182</v>
      </c>
      <c r="CE95" s="73">
        <v>1.4933072877106639</v>
      </c>
      <c r="CF95" s="73">
        <v>2.5930290378729524</v>
      </c>
      <c r="CG95" s="73">
        <v>2.3516140447574969</v>
      </c>
      <c r="CH95" s="73">
        <v>2.777943131897004</v>
      </c>
      <c r="CI95" s="74">
        <v>2.6420088399371053</v>
      </c>
    </row>
    <row r="96" spans="1:87" x14ac:dyDescent="0.2">
      <c r="A96" s="16"/>
      <c r="D96" s="1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</row>
    <row r="97" spans="1:7" s="25" customFormat="1" x14ac:dyDescent="0.2">
      <c r="A97" s="46" t="s">
        <v>47</v>
      </c>
      <c r="B97" s="47"/>
      <c r="C97" s="47"/>
      <c r="D97" s="47"/>
      <c r="E97" s="47"/>
      <c r="F97" s="47"/>
      <c r="G97" s="75"/>
    </row>
    <row r="98" spans="1:7" s="25" customFormat="1" x14ac:dyDescent="0.2">
      <c r="A98" s="49" t="s">
        <v>48</v>
      </c>
      <c r="B98" s="50"/>
      <c r="C98" s="50"/>
      <c r="D98" s="50"/>
      <c r="E98" s="50"/>
      <c r="F98" s="50"/>
      <c r="G98" s="76"/>
    </row>
    <row r="99" spans="1:7" s="25" customFormat="1" x14ac:dyDescent="0.2">
      <c r="A99" s="49" t="s">
        <v>49</v>
      </c>
      <c r="B99" s="50"/>
      <c r="C99" s="50"/>
      <c r="D99" s="50"/>
      <c r="E99" s="50"/>
      <c r="F99" s="50"/>
      <c r="G99" s="76"/>
    </row>
    <row r="100" spans="1:7" s="25" customFormat="1" x14ac:dyDescent="0.2">
      <c r="A100" s="52" t="s">
        <v>50</v>
      </c>
      <c r="B100" s="53"/>
      <c r="C100" s="53"/>
      <c r="D100" s="53"/>
      <c r="E100" s="53"/>
      <c r="F100" s="53"/>
      <c r="G100" s="77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</sheetData>
  <mergeCells count="76">
    <mergeCell ref="CF78:CI78"/>
    <mergeCell ref="AN78:AQ78"/>
    <mergeCell ref="AR78:AU78"/>
    <mergeCell ref="AV78:AY78"/>
    <mergeCell ref="AZ78:BC78"/>
    <mergeCell ref="BD78:BG78"/>
    <mergeCell ref="BH78:BK78"/>
    <mergeCell ref="BL78:BO78"/>
    <mergeCell ref="BP78:BS78"/>
    <mergeCell ref="BT78:BW78"/>
    <mergeCell ref="BX78:CA78"/>
    <mergeCell ref="CB78:CE78"/>
    <mergeCell ref="AJ78:AM78"/>
    <mergeCell ref="A78:A79"/>
    <mergeCell ref="B78:B79"/>
    <mergeCell ref="C78:C79"/>
    <mergeCell ref="D78:G78"/>
    <mergeCell ref="H78:K78"/>
    <mergeCell ref="L78:O78"/>
    <mergeCell ref="P78:S78"/>
    <mergeCell ref="T78:W78"/>
    <mergeCell ref="X78:AA78"/>
    <mergeCell ref="AB78:AE78"/>
    <mergeCell ref="AF78:AI78"/>
    <mergeCell ref="BP45:BS45"/>
    <mergeCell ref="BT45:BW45"/>
    <mergeCell ref="BX45:CA45"/>
    <mergeCell ref="CB45:CE45"/>
    <mergeCell ref="CF45:CI45"/>
    <mergeCell ref="A72:G73"/>
    <mergeCell ref="AR45:AU45"/>
    <mergeCell ref="AV45:AY45"/>
    <mergeCell ref="AZ45:BC45"/>
    <mergeCell ref="BD45:BG45"/>
    <mergeCell ref="BH45:BK45"/>
    <mergeCell ref="BL45:BO45"/>
    <mergeCell ref="T45:W45"/>
    <mergeCell ref="X45:AA45"/>
    <mergeCell ref="AB45:AE45"/>
    <mergeCell ref="AF45:AI45"/>
    <mergeCell ref="AJ45:AM45"/>
    <mergeCell ref="AN45:AQ45"/>
    <mergeCell ref="CB12:CE12"/>
    <mergeCell ref="CF12:CI12"/>
    <mergeCell ref="A39:G40"/>
    <mergeCell ref="A45:A46"/>
    <mergeCell ref="B45:B46"/>
    <mergeCell ref="C45:C46"/>
    <mergeCell ref="D45:G45"/>
    <mergeCell ref="H45:K45"/>
    <mergeCell ref="L45:O45"/>
    <mergeCell ref="P45:S45"/>
    <mergeCell ref="BD12:BG12"/>
    <mergeCell ref="BH12:BK12"/>
    <mergeCell ref="BL12:BO12"/>
    <mergeCell ref="BP12:BS12"/>
    <mergeCell ref="BT12:BW12"/>
    <mergeCell ref="BX12:CA12"/>
    <mergeCell ref="AZ12:BC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AN12:AQ12"/>
    <mergeCell ref="AR12:AU12"/>
    <mergeCell ref="AV12:AY12"/>
    <mergeCell ref="A1:G3"/>
    <mergeCell ref="A5:G6"/>
    <mergeCell ref="A12:A13"/>
    <mergeCell ref="B12:B13"/>
    <mergeCell ref="C12:C13"/>
    <mergeCell ref="D12:G12"/>
  </mergeCells>
  <hyperlinks>
    <hyperlink ref="I7" location="Índice!A3" display="Índice" xr:uid="{07C4865A-98FE-4D41-9FB3-88B47242FE90}"/>
    <hyperlink ref="I8" location="'Cuadro 1'!A39" display="Tasa de crecimiento anual" xr:uid="{349D2698-81D4-44A8-9213-20F90E9DAFE1}"/>
    <hyperlink ref="I9" location="'Cuadro 1'!A72" display="Tasa de crecimiento año corrido" xr:uid="{6CBE1ADE-C1A6-4AB5-A3A9-4B07284ED62B}"/>
  </hyperlink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38B3-C5B5-4D9D-B2F4-3C2CC8354395}">
  <dimension ref="A1:AB23"/>
  <sheetViews>
    <sheetView zoomScaleNormal="120" workbookViewId="0">
      <selection sqref="A1:XFD20"/>
    </sheetView>
  </sheetViews>
  <sheetFormatPr baseColWidth="10" defaultRowHeight="15" x14ac:dyDescent="0.2"/>
  <cols>
    <col min="1" max="1" width="39.5" bestFit="1" customWidth="1"/>
    <col min="2" max="2" width="66.5" style="142" customWidth="1"/>
    <col min="3" max="22" width="12.1640625" bestFit="1" customWidth="1"/>
    <col min="23" max="28" width="13.83203125" bestFit="1" customWidth="1"/>
  </cols>
  <sheetData>
    <row r="1" spans="1:28" x14ac:dyDescent="0.2">
      <c r="A1" s="182" t="s">
        <v>75</v>
      </c>
      <c r="B1" s="182"/>
    </row>
    <row r="2" spans="1:28" ht="16" thickBot="1" x14ac:dyDescent="0.25">
      <c r="A2" s="182"/>
      <c r="B2" s="182"/>
    </row>
    <row r="3" spans="1:28" x14ac:dyDescent="0.2">
      <c r="X3" s="183" t="s">
        <v>77</v>
      </c>
      <c r="Y3" s="184"/>
      <c r="Z3" s="184"/>
      <c r="AA3" s="184"/>
      <c r="AB3" s="185"/>
    </row>
    <row r="4" spans="1:28" ht="16" thickBot="1" x14ac:dyDescent="0.25">
      <c r="X4" s="186"/>
      <c r="Y4" s="187"/>
      <c r="Z4" s="187"/>
      <c r="AA4" s="187"/>
      <c r="AB4" s="188"/>
    </row>
    <row r="5" spans="1:28" s="144" customFormat="1" ht="41" thickBot="1" x14ac:dyDescent="0.3">
      <c r="A5" s="145" t="s">
        <v>9</v>
      </c>
      <c r="B5" s="149" t="s">
        <v>10</v>
      </c>
      <c r="C5" s="160">
        <v>2005</v>
      </c>
      <c r="D5" s="157">
        <v>2006</v>
      </c>
      <c r="E5" s="157">
        <v>2007</v>
      </c>
      <c r="F5" s="157">
        <v>2008</v>
      </c>
      <c r="G5" s="157">
        <v>2009</v>
      </c>
      <c r="H5" s="157">
        <v>2010</v>
      </c>
      <c r="I5" s="157">
        <v>2011</v>
      </c>
      <c r="J5" s="157">
        <v>2012</v>
      </c>
      <c r="K5" s="157">
        <v>2013</v>
      </c>
      <c r="L5" s="157">
        <v>2014</v>
      </c>
      <c r="M5" s="157">
        <v>2015</v>
      </c>
      <c r="N5" s="157">
        <v>2016</v>
      </c>
      <c r="O5" s="157">
        <v>2017</v>
      </c>
      <c r="P5" s="157">
        <v>2018</v>
      </c>
      <c r="Q5" s="157">
        <v>2019</v>
      </c>
      <c r="R5" s="157">
        <v>2020</v>
      </c>
      <c r="S5" s="157">
        <v>2021</v>
      </c>
      <c r="T5" s="157">
        <v>2022</v>
      </c>
      <c r="U5" s="157">
        <v>2023</v>
      </c>
      <c r="V5" s="157">
        <v>2024</v>
      </c>
      <c r="W5" s="157">
        <v>2025</v>
      </c>
      <c r="X5" s="157">
        <v>2026</v>
      </c>
      <c r="Y5" s="157">
        <v>2027</v>
      </c>
      <c r="Z5" s="157">
        <v>2028</v>
      </c>
      <c r="AA5" s="157">
        <v>2029</v>
      </c>
      <c r="AB5" s="157">
        <v>2030</v>
      </c>
    </row>
    <row r="6" spans="1:28" ht="16" x14ac:dyDescent="0.2">
      <c r="A6" s="146" t="s">
        <v>18</v>
      </c>
      <c r="B6" s="158" t="s">
        <v>19</v>
      </c>
      <c r="C6" s="152">
        <v>37909</v>
      </c>
      <c r="D6" s="156">
        <v>38717</v>
      </c>
      <c r="E6" s="146">
        <v>40239</v>
      </c>
      <c r="F6" s="146">
        <v>39914.999999999993</v>
      </c>
      <c r="G6" s="146">
        <v>39822</v>
      </c>
      <c r="H6" s="146">
        <v>39943</v>
      </c>
      <c r="I6" s="146">
        <v>40706.000000000007</v>
      </c>
      <c r="J6" s="146">
        <v>41725</v>
      </c>
      <c r="K6" s="146">
        <v>44834.999999999993</v>
      </c>
      <c r="L6" s="146">
        <v>46140</v>
      </c>
      <c r="M6" s="146">
        <v>48124</v>
      </c>
      <c r="N6" s="146">
        <v>49441</v>
      </c>
      <c r="O6" s="146">
        <v>52198</v>
      </c>
      <c r="P6" s="146">
        <v>53030</v>
      </c>
      <c r="Q6" s="146">
        <v>54471</v>
      </c>
      <c r="R6" s="146">
        <v>55539</v>
      </c>
      <c r="S6" s="155">
        <v>57968</v>
      </c>
      <c r="T6" s="146">
        <v>57442</v>
      </c>
      <c r="U6" s="156">
        <v>58389</v>
      </c>
      <c r="V6" s="146">
        <v>61966.999999999985</v>
      </c>
      <c r="W6" s="146">
        <v>63888.120954066384</v>
      </c>
      <c r="X6" s="146">
        <f t="shared" ref="X6:X18" si="0">W6*(1+$X$20)</f>
        <v>65216.919478487296</v>
      </c>
      <c r="Y6" s="146">
        <f t="shared" ref="Y6:Y18" si="1">X6*(1+$Y$20)</f>
        <v>66778.491991517774</v>
      </c>
      <c r="Z6" s="146">
        <f t="shared" ref="Z6:Z18" si="2">Y6*(1+$Z$20)</f>
        <v>68272.43105498128</v>
      </c>
      <c r="AA6" s="146">
        <f t="shared" ref="AA6:AA18" si="3">Z6*(1+$AA$20)</f>
        <v>69853.478737334503</v>
      </c>
      <c r="AB6" s="146">
        <f t="shared" ref="AB6:AB18" si="4">AA6*(1+$AB$20)</f>
        <v>71443.675126041009</v>
      </c>
    </row>
    <row r="7" spans="1:28" ht="16" x14ac:dyDescent="0.2">
      <c r="A7" s="147" t="s">
        <v>20</v>
      </c>
      <c r="B7" s="159" t="s">
        <v>21</v>
      </c>
      <c r="C7" s="147">
        <v>27430</v>
      </c>
      <c r="D7" s="154">
        <v>28059</v>
      </c>
      <c r="E7" s="147">
        <v>28434</v>
      </c>
      <c r="F7" s="147">
        <v>31101</v>
      </c>
      <c r="G7" s="147">
        <v>34659</v>
      </c>
      <c r="H7" s="147">
        <v>38427</v>
      </c>
      <c r="I7" s="147">
        <v>43974</v>
      </c>
      <c r="J7" s="147">
        <v>46335</v>
      </c>
      <c r="K7" s="147">
        <v>48794</v>
      </c>
      <c r="L7" s="147">
        <v>48136</v>
      </c>
      <c r="M7" s="147">
        <v>47626.999999999993</v>
      </c>
      <c r="N7" s="147">
        <v>46253</v>
      </c>
      <c r="O7" s="147">
        <v>43592</v>
      </c>
      <c r="P7" s="147">
        <v>42868.000000000007</v>
      </c>
      <c r="Q7" s="147">
        <v>43692.999999999993</v>
      </c>
      <c r="R7" s="147">
        <v>37056.000000000007</v>
      </c>
      <c r="S7" s="153">
        <v>36980</v>
      </c>
      <c r="T7" s="147">
        <v>37518</v>
      </c>
      <c r="U7" s="154">
        <v>38480.999999999993</v>
      </c>
      <c r="V7" s="147">
        <v>37168</v>
      </c>
      <c r="W7" s="147">
        <v>34868.277064090362</v>
      </c>
      <c r="X7" s="147">
        <f>35593.4966263493</f>
        <v>35593.496626349297</v>
      </c>
      <c r="Y7" s="147">
        <f t="shared" si="1"/>
        <v>36445.757457109394</v>
      </c>
      <c r="Z7" s="147">
        <f t="shared" si="2"/>
        <v>37261.105919449757</v>
      </c>
      <c r="AA7" s="147">
        <f t="shared" si="3"/>
        <v>38123.995730835282</v>
      </c>
      <c r="AB7" s="147">
        <f t="shared" si="4"/>
        <v>38991.878639891242</v>
      </c>
    </row>
    <row r="8" spans="1:28" ht="16" x14ac:dyDescent="0.2">
      <c r="A8" s="146" t="s">
        <v>22</v>
      </c>
      <c r="B8" s="158" t="s">
        <v>23</v>
      </c>
      <c r="C8" s="146">
        <v>77252</v>
      </c>
      <c r="D8" s="156">
        <v>82885</v>
      </c>
      <c r="E8" s="146">
        <v>89320</v>
      </c>
      <c r="F8" s="146">
        <v>89639</v>
      </c>
      <c r="G8" s="146">
        <v>86354</v>
      </c>
      <c r="H8" s="146">
        <v>87979.999999999985</v>
      </c>
      <c r="I8" s="146">
        <v>92896</v>
      </c>
      <c r="J8" s="146">
        <v>93666.999999999985</v>
      </c>
      <c r="K8" s="146">
        <v>95081</v>
      </c>
      <c r="L8" s="146">
        <v>97828.999999999985</v>
      </c>
      <c r="M8" s="146">
        <v>99789</v>
      </c>
      <c r="N8" s="146">
        <v>103005.99999999999</v>
      </c>
      <c r="O8" s="146">
        <v>101135</v>
      </c>
      <c r="P8" s="146">
        <v>102626.99999999997</v>
      </c>
      <c r="Q8" s="146">
        <v>103860.00000000001</v>
      </c>
      <c r="R8" s="146">
        <v>94254</v>
      </c>
      <c r="S8" s="155">
        <v>107066</v>
      </c>
      <c r="T8" s="146">
        <v>115801.99999999999</v>
      </c>
      <c r="U8" s="156">
        <v>113925.00000000001</v>
      </c>
      <c r="V8" s="146">
        <v>111003</v>
      </c>
      <c r="W8" s="146">
        <v>113056.56188430529</v>
      </c>
      <c r="X8" s="146">
        <f t="shared" si="0"/>
        <v>115408.00672826896</v>
      </c>
      <c r="Y8" s="146">
        <f t="shared" si="1"/>
        <v>118171.36894365154</v>
      </c>
      <c r="Z8" s="146">
        <f t="shared" si="2"/>
        <v>120815.04685525074</v>
      </c>
      <c r="AA8" s="146">
        <f t="shared" si="3"/>
        <v>123612.8723738713</v>
      </c>
      <c r="AB8" s="146">
        <f t="shared" si="4"/>
        <v>126426.88746373839</v>
      </c>
    </row>
    <row r="9" spans="1:28" ht="48" x14ac:dyDescent="0.2">
      <c r="A9" s="147" t="s">
        <v>24</v>
      </c>
      <c r="B9" s="159" t="s">
        <v>25</v>
      </c>
      <c r="C9" s="147">
        <v>18685</v>
      </c>
      <c r="D9" s="154">
        <v>19679</v>
      </c>
      <c r="E9" s="147">
        <v>20511</v>
      </c>
      <c r="F9" s="147">
        <v>20619</v>
      </c>
      <c r="G9" s="147">
        <v>21113.000000000004</v>
      </c>
      <c r="H9" s="147">
        <v>21935.000000000004</v>
      </c>
      <c r="I9" s="147">
        <v>22608</v>
      </c>
      <c r="J9" s="147">
        <v>23094</v>
      </c>
      <c r="K9" s="147">
        <v>23950</v>
      </c>
      <c r="L9" s="147">
        <v>24772.999999999996</v>
      </c>
      <c r="M9" s="147">
        <v>24598.999999999993</v>
      </c>
      <c r="N9" s="147">
        <v>24597</v>
      </c>
      <c r="O9" s="147">
        <v>25306.999999999996</v>
      </c>
      <c r="P9" s="147">
        <v>25952.000000000004</v>
      </c>
      <c r="Q9" s="147">
        <v>26606.000000000004</v>
      </c>
      <c r="R9" s="147">
        <v>25587</v>
      </c>
      <c r="S9" s="153">
        <v>27079</v>
      </c>
      <c r="T9" s="147">
        <v>28327</v>
      </c>
      <c r="U9" s="154">
        <v>29221</v>
      </c>
      <c r="V9" s="147">
        <v>29948</v>
      </c>
      <c r="W9" s="147">
        <v>30289.602434291664</v>
      </c>
      <c r="X9" s="147">
        <f t="shared" si="0"/>
        <v>30919.590895666519</v>
      </c>
      <c r="Y9" s="147">
        <f t="shared" si="1"/>
        <v>31659.938395102567</v>
      </c>
      <c r="Z9" s="147">
        <f t="shared" si="2"/>
        <v>32368.220617487877</v>
      </c>
      <c r="AA9" s="147">
        <f t="shared" si="3"/>
        <v>33117.80136916734</v>
      </c>
      <c r="AB9" s="147">
        <f t="shared" si="4"/>
        <v>33871.719557510944</v>
      </c>
    </row>
    <row r="10" spans="1:28" ht="16" x14ac:dyDescent="0.2">
      <c r="A10" s="146" t="s">
        <v>26</v>
      </c>
      <c r="B10" s="158" t="s">
        <v>27</v>
      </c>
      <c r="C10" s="146">
        <v>29808</v>
      </c>
      <c r="D10" s="156">
        <v>33427</v>
      </c>
      <c r="E10" s="146">
        <v>35747</v>
      </c>
      <c r="F10" s="146">
        <v>39289</v>
      </c>
      <c r="G10" s="146">
        <v>40316</v>
      </c>
      <c r="H10" s="146">
        <v>40048.000000000007</v>
      </c>
      <c r="I10" s="146">
        <v>42536</v>
      </c>
      <c r="J10" s="146">
        <v>45051</v>
      </c>
      <c r="K10" s="146">
        <v>50131</v>
      </c>
      <c r="L10" s="146">
        <v>54602</v>
      </c>
      <c r="M10" s="146">
        <v>58042</v>
      </c>
      <c r="N10" s="146">
        <v>60124.999999999993</v>
      </c>
      <c r="O10" s="146">
        <v>58907</v>
      </c>
      <c r="P10" s="146">
        <v>58156</v>
      </c>
      <c r="Q10" s="146">
        <v>55893</v>
      </c>
      <c r="R10" s="146">
        <v>39359</v>
      </c>
      <c r="S10" s="155">
        <v>41039</v>
      </c>
      <c r="T10" s="146">
        <v>43765</v>
      </c>
      <c r="U10" s="156">
        <v>42412</v>
      </c>
      <c r="V10" s="146">
        <v>42448</v>
      </c>
      <c r="W10" s="146">
        <v>41273.053068554225</v>
      </c>
      <c r="X10" s="146">
        <f t="shared" si="0"/>
        <v>42131.484513975382</v>
      </c>
      <c r="Y10" s="146">
        <f t="shared" si="1"/>
        <v>43140.292790666448</v>
      </c>
      <c r="Z10" s="146">
        <f t="shared" si="2"/>
        <v>44105.408454215962</v>
      </c>
      <c r="AA10" s="146">
        <f t="shared" si="3"/>
        <v>45126.798094781465</v>
      </c>
      <c r="AB10" s="146">
        <f t="shared" si="4"/>
        <v>46154.097989666378</v>
      </c>
    </row>
    <row r="11" spans="1:28" ht="32" x14ac:dyDescent="0.2">
      <c r="A11" s="147" t="s">
        <v>28</v>
      </c>
      <c r="B11" s="159" t="s">
        <v>29</v>
      </c>
      <c r="C11" s="147">
        <v>85427</v>
      </c>
      <c r="D11" s="154">
        <v>91926</v>
      </c>
      <c r="E11" s="147">
        <v>99342.999999999985</v>
      </c>
      <c r="F11" s="147">
        <v>102346</v>
      </c>
      <c r="G11" s="147">
        <v>102185</v>
      </c>
      <c r="H11" s="147">
        <v>107647</v>
      </c>
      <c r="I11" s="147">
        <v>115063</v>
      </c>
      <c r="J11" s="147">
        <v>119453.00000000001</v>
      </c>
      <c r="K11" s="147">
        <v>125149</v>
      </c>
      <c r="L11" s="147">
        <v>131063</v>
      </c>
      <c r="M11" s="147">
        <v>135429</v>
      </c>
      <c r="N11" s="147">
        <v>139066</v>
      </c>
      <c r="O11" s="147">
        <v>141652</v>
      </c>
      <c r="P11" s="147">
        <v>145438</v>
      </c>
      <c r="Q11" s="147">
        <v>150890</v>
      </c>
      <c r="R11" s="147">
        <v>130235</v>
      </c>
      <c r="S11" s="153">
        <v>156814.99999999997</v>
      </c>
      <c r="T11" s="147">
        <v>175451</v>
      </c>
      <c r="U11" s="154">
        <v>169067.00000000006</v>
      </c>
      <c r="V11" s="147">
        <v>171151</v>
      </c>
      <c r="W11" s="147">
        <v>179021.7773381015</v>
      </c>
      <c r="X11" s="147">
        <f t="shared" si="0"/>
        <v>182745.2218535085</v>
      </c>
      <c r="Y11" s="147">
        <f t="shared" si="1"/>
        <v>187120.92554537373</v>
      </c>
      <c r="Z11" s="147">
        <f t="shared" si="2"/>
        <v>191307.11262338064</v>
      </c>
      <c r="AA11" s="147">
        <f t="shared" si="3"/>
        <v>195737.38795351062</v>
      </c>
      <c r="AB11" s="147">
        <f t="shared" si="4"/>
        <v>200193.29899881349</v>
      </c>
    </row>
    <row r="12" spans="1:28" ht="16" x14ac:dyDescent="0.2">
      <c r="A12" s="146" t="s">
        <v>30</v>
      </c>
      <c r="B12" s="158" t="s">
        <v>31</v>
      </c>
      <c r="C12" s="146">
        <v>12730</v>
      </c>
      <c r="D12" s="156">
        <v>14629</v>
      </c>
      <c r="E12" s="146">
        <v>16761</v>
      </c>
      <c r="F12" s="146">
        <v>17120</v>
      </c>
      <c r="G12" s="146">
        <v>15669</v>
      </c>
      <c r="H12" s="146">
        <v>18256</v>
      </c>
      <c r="I12" s="146">
        <v>20153</v>
      </c>
      <c r="J12" s="146">
        <v>20415</v>
      </c>
      <c r="K12" s="146">
        <v>22218</v>
      </c>
      <c r="L12" s="146">
        <v>23654.000000000004</v>
      </c>
      <c r="M12" s="146">
        <v>23961.000000000004</v>
      </c>
      <c r="N12" s="146">
        <v>23803.999999999996</v>
      </c>
      <c r="O12" s="146">
        <v>23758</v>
      </c>
      <c r="P12" s="146">
        <v>24595</v>
      </c>
      <c r="Q12" s="146">
        <v>24820.999999999996</v>
      </c>
      <c r="R12" s="146">
        <v>24132.999999999996</v>
      </c>
      <c r="S12" s="155">
        <v>27210</v>
      </c>
      <c r="T12" s="146">
        <v>30564</v>
      </c>
      <c r="U12" s="156">
        <v>31034</v>
      </c>
      <c r="V12" s="146">
        <v>30969.000000000004</v>
      </c>
      <c r="W12" s="146">
        <v>31269.035070523441</v>
      </c>
      <c r="X12" s="146">
        <f t="shared" si="0"/>
        <v>31919.394590279087</v>
      </c>
      <c r="Y12" s="146">
        <f t="shared" si="1"/>
        <v>32683.681674418276</v>
      </c>
      <c r="Z12" s="146">
        <f t="shared" si="2"/>
        <v>33414.866631356534</v>
      </c>
      <c r="AA12" s="146">
        <f t="shared" si="3"/>
        <v>34188.685530541516</v>
      </c>
      <c r="AB12" s="146">
        <f t="shared" si="4"/>
        <v>34966.982120031658</v>
      </c>
    </row>
    <row r="13" spans="1:28" ht="16" x14ac:dyDescent="0.2">
      <c r="A13" s="147" t="s">
        <v>32</v>
      </c>
      <c r="B13" s="159" t="s">
        <v>33</v>
      </c>
      <c r="C13" s="147">
        <v>15424</v>
      </c>
      <c r="D13" s="154">
        <v>16440</v>
      </c>
      <c r="E13" s="147">
        <v>18702</v>
      </c>
      <c r="F13" s="147">
        <v>20598</v>
      </c>
      <c r="G13" s="147">
        <v>21315</v>
      </c>
      <c r="H13" s="147">
        <v>22312.000000000004</v>
      </c>
      <c r="I13" s="147">
        <v>24754</v>
      </c>
      <c r="J13" s="147">
        <v>26625.999999999996</v>
      </c>
      <c r="K13" s="147">
        <v>29160</v>
      </c>
      <c r="L13" s="147">
        <v>32139</v>
      </c>
      <c r="M13" s="147">
        <v>34695.999999999993</v>
      </c>
      <c r="N13" s="147">
        <v>35726</v>
      </c>
      <c r="O13" s="147">
        <v>37651</v>
      </c>
      <c r="P13" s="147">
        <v>39057</v>
      </c>
      <c r="Q13" s="147">
        <v>41505.000000000007</v>
      </c>
      <c r="R13" s="147">
        <v>42433</v>
      </c>
      <c r="S13" s="153">
        <v>44002.999999999993</v>
      </c>
      <c r="T13" s="147">
        <v>46940</v>
      </c>
      <c r="U13" s="154">
        <v>51134.999999999993</v>
      </c>
      <c r="V13" s="147">
        <v>51684.000000000007</v>
      </c>
      <c r="W13" s="147">
        <v>53112.341726684856</v>
      </c>
      <c r="X13" s="147">
        <f t="shared" si="0"/>
        <v>54217.016590509695</v>
      </c>
      <c r="Y13" s="147">
        <f t="shared" si="1"/>
        <v>55515.204292769755</v>
      </c>
      <c r="Z13" s="147">
        <f t="shared" si="2"/>
        <v>56757.166035776179</v>
      </c>
      <c r="AA13" s="147">
        <f t="shared" si="3"/>
        <v>58071.544100701605</v>
      </c>
      <c r="AB13" s="147">
        <f t="shared" si="4"/>
        <v>59393.527792634632</v>
      </c>
    </row>
    <row r="14" spans="1:28" ht="16" x14ac:dyDescent="0.2">
      <c r="A14" s="146" t="s">
        <v>34</v>
      </c>
      <c r="B14" s="158" t="s">
        <v>35</v>
      </c>
      <c r="C14" s="146">
        <v>50233</v>
      </c>
      <c r="D14" s="156">
        <v>52265</v>
      </c>
      <c r="E14" s="146">
        <v>54225</v>
      </c>
      <c r="F14" s="146">
        <v>55731</v>
      </c>
      <c r="G14" s="146">
        <v>57866</v>
      </c>
      <c r="H14" s="146">
        <v>59932</v>
      </c>
      <c r="I14" s="146">
        <v>61628</v>
      </c>
      <c r="J14" s="146">
        <v>63579</v>
      </c>
      <c r="K14" s="146">
        <v>65625</v>
      </c>
      <c r="L14" s="146">
        <v>67664</v>
      </c>
      <c r="M14" s="146">
        <v>69824.999999999985</v>
      </c>
      <c r="N14" s="146">
        <v>72289</v>
      </c>
      <c r="O14" s="146">
        <v>74495</v>
      </c>
      <c r="P14" s="146">
        <v>77449</v>
      </c>
      <c r="Q14" s="146">
        <v>79964</v>
      </c>
      <c r="R14" s="146">
        <v>81118</v>
      </c>
      <c r="S14" s="155">
        <v>83143</v>
      </c>
      <c r="T14" s="146">
        <v>84843</v>
      </c>
      <c r="U14" s="156">
        <v>86413</v>
      </c>
      <c r="V14" s="146">
        <v>88322</v>
      </c>
      <c r="W14" s="146">
        <v>90073.804942443036</v>
      </c>
      <c r="X14" s="146">
        <f t="shared" si="0"/>
        <v>91947.235203172546</v>
      </c>
      <c r="Y14" s="146">
        <f t="shared" si="1"/>
        <v>94148.846016602402</v>
      </c>
      <c r="Z14" s="146">
        <f t="shared" si="2"/>
        <v>96255.102606854227</v>
      </c>
      <c r="AA14" s="146">
        <f t="shared" si="3"/>
        <v>98484.170834535791</v>
      </c>
      <c r="AB14" s="146">
        <f t="shared" si="4"/>
        <v>100726.13752877475</v>
      </c>
    </row>
    <row r="15" spans="1:28" ht="32" x14ac:dyDescent="0.2">
      <c r="A15" s="147" t="s">
        <v>36</v>
      </c>
      <c r="B15" s="159" t="s">
        <v>37</v>
      </c>
      <c r="C15" s="147">
        <v>36057</v>
      </c>
      <c r="D15" s="154">
        <v>38592</v>
      </c>
      <c r="E15" s="147">
        <v>41246</v>
      </c>
      <c r="F15" s="147">
        <v>42799.999999999993</v>
      </c>
      <c r="G15" s="147">
        <v>43998</v>
      </c>
      <c r="H15" s="147">
        <v>45354</v>
      </c>
      <c r="I15" s="147">
        <v>48568</v>
      </c>
      <c r="J15" s="147">
        <v>50907</v>
      </c>
      <c r="K15" s="147">
        <v>53593</v>
      </c>
      <c r="L15" s="147">
        <v>57500</v>
      </c>
      <c r="M15" s="147">
        <v>57392</v>
      </c>
      <c r="N15" s="147">
        <v>55994.999999999993</v>
      </c>
      <c r="O15" s="147">
        <v>56810</v>
      </c>
      <c r="P15" s="147">
        <v>59065.999999999993</v>
      </c>
      <c r="Q15" s="147">
        <v>61102</v>
      </c>
      <c r="R15" s="147">
        <v>57564</v>
      </c>
      <c r="S15" s="153">
        <v>63167</v>
      </c>
      <c r="T15" s="147">
        <v>68132.000000000015</v>
      </c>
      <c r="U15" s="154">
        <v>69437.000000000015</v>
      </c>
      <c r="V15" s="147">
        <v>69146.000000000015</v>
      </c>
      <c r="W15" s="147">
        <v>70073.645866340899</v>
      </c>
      <c r="X15" s="147">
        <f t="shared" si="0"/>
        <v>71531.096106502649</v>
      </c>
      <c r="Y15" s="147">
        <f t="shared" si="1"/>
        <v>73243.857064856435</v>
      </c>
      <c r="Z15" s="147">
        <f t="shared" si="2"/>
        <v>74882.436433222902</v>
      </c>
      <c r="AA15" s="147">
        <f t="shared" si="3"/>
        <v>76616.558109311532</v>
      </c>
      <c r="AB15" s="147">
        <f t="shared" si="4"/>
        <v>78360.714251895057</v>
      </c>
    </row>
    <row r="16" spans="1:28" ht="32" x14ac:dyDescent="0.2">
      <c r="A16" s="146" t="s">
        <v>38</v>
      </c>
      <c r="B16" s="158" t="s">
        <v>39</v>
      </c>
      <c r="C16" s="146">
        <v>71182</v>
      </c>
      <c r="D16" s="156">
        <v>74469</v>
      </c>
      <c r="E16" s="146">
        <v>77514</v>
      </c>
      <c r="F16" s="146">
        <v>79167</v>
      </c>
      <c r="G16" s="146">
        <v>81581</v>
      </c>
      <c r="H16" s="146">
        <v>85362.000000000015</v>
      </c>
      <c r="I16" s="146">
        <v>90265</v>
      </c>
      <c r="J16" s="146">
        <v>95283</v>
      </c>
      <c r="K16" s="146">
        <v>100531</v>
      </c>
      <c r="L16" s="146">
        <v>106408</v>
      </c>
      <c r="M16" s="146">
        <v>112077</v>
      </c>
      <c r="N16" s="146">
        <v>116197.99999999999</v>
      </c>
      <c r="O16" s="146">
        <v>120222</v>
      </c>
      <c r="P16" s="146">
        <v>125916</v>
      </c>
      <c r="Q16" s="146">
        <v>132333</v>
      </c>
      <c r="R16" s="146">
        <v>132742</v>
      </c>
      <c r="S16" s="155">
        <v>143974.00000000003</v>
      </c>
      <c r="T16" s="146">
        <v>145589</v>
      </c>
      <c r="U16" s="156">
        <v>152772</v>
      </c>
      <c r="V16" s="146">
        <v>158980</v>
      </c>
      <c r="W16" s="146">
        <v>166116.39565643322</v>
      </c>
      <c r="X16" s="146">
        <f t="shared" si="0"/>
        <v>169571.42325990729</v>
      </c>
      <c r="Y16" s="146">
        <f t="shared" si="1"/>
        <v>173631.68976245919</v>
      </c>
      <c r="Z16" s="146">
        <f t="shared" si="2"/>
        <v>177516.10158811504</v>
      </c>
      <c r="AA16" s="146">
        <f t="shared" si="3"/>
        <v>181627.00575044443</v>
      </c>
      <c r="AB16" s="146">
        <f t="shared" si="4"/>
        <v>185761.69759194847</v>
      </c>
    </row>
    <row r="17" spans="1:28" ht="64" x14ac:dyDescent="0.2">
      <c r="A17" s="147" t="s">
        <v>40</v>
      </c>
      <c r="B17" s="159" t="s">
        <v>41</v>
      </c>
      <c r="C17" s="147">
        <v>12775.999999999998</v>
      </c>
      <c r="D17" s="154">
        <v>13424</v>
      </c>
      <c r="E17" s="147">
        <v>14135</v>
      </c>
      <c r="F17" s="147">
        <v>14558</v>
      </c>
      <c r="G17" s="147">
        <v>14897</v>
      </c>
      <c r="H17" s="147">
        <v>15259</v>
      </c>
      <c r="I17" s="147">
        <v>16188</v>
      </c>
      <c r="J17" s="147">
        <v>16677</v>
      </c>
      <c r="K17" s="147">
        <v>17718</v>
      </c>
      <c r="L17" s="147">
        <v>18210</v>
      </c>
      <c r="M17" s="147">
        <v>18982</v>
      </c>
      <c r="N17" s="147">
        <v>20034</v>
      </c>
      <c r="O17" s="147">
        <v>20456</v>
      </c>
      <c r="P17" s="147">
        <v>20925</v>
      </c>
      <c r="Q17" s="147">
        <v>23653</v>
      </c>
      <c r="R17" s="147">
        <v>20864.999999999996</v>
      </c>
      <c r="S17" s="153">
        <v>28048</v>
      </c>
      <c r="T17" s="147">
        <v>35932</v>
      </c>
      <c r="U17" s="154">
        <v>39661</v>
      </c>
      <c r="V17" s="147">
        <v>42910</v>
      </c>
      <c r="W17" s="147">
        <v>47155.337358818259</v>
      </c>
      <c r="X17" s="147">
        <f t="shared" si="0"/>
        <v>48136.113468136275</v>
      </c>
      <c r="Y17" s="147">
        <f t="shared" si="1"/>
        <v>49288.698292397297</v>
      </c>
      <c r="Z17" s="147">
        <f t="shared" si="2"/>
        <v>50391.363380666022</v>
      </c>
      <c r="AA17" s="147">
        <f t="shared" si="3"/>
        <v>51558.322679646604</v>
      </c>
      <c r="AB17" s="147">
        <f t="shared" si="4"/>
        <v>52732.034569375566</v>
      </c>
    </row>
    <row r="18" spans="1:28" ht="17" thickBot="1" x14ac:dyDescent="0.25">
      <c r="A18" s="146"/>
      <c r="B18" s="158" t="s">
        <v>45</v>
      </c>
      <c r="C18" s="148">
        <v>42525</v>
      </c>
      <c r="D18" s="156">
        <v>47626.999999999993</v>
      </c>
      <c r="E18" s="146">
        <v>52812.999999999993</v>
      </c>
      <c r="F18" s="146">
        <v>55501</v>
      </c>
      <c r="G18" s="146">
        <v>54615</v>
      </c>
      <c r="H18" s="146">
        <v>58006</v>
      </c>
      <c r="I18" s="146">
        <v>64001</v>
      </c>
      <c r="J18" s="146">
        <v>66872.999999999985</v>
      </c>
      <c r="K18" s="146">
        <v>69095</v>
      </c>
      <c r="L18" s="146">
        <v>72899</v>
      </c>
      <c r="M18" s="146">
        <v>74149</v>
      </c>
      <c r="N18" s="146">
        <v>74955</v>
      </c>
      <c r="O18" s="146">
        <v>75773</v>
      </c>
      <c r="P18" s="146">
        <v>78088.000000000015</v>
      </c>
      <c r="Q18" s="146">
        <v>81489</v>
      </c>
      <c r="R18" s="146">
        <v>76490</v>
      </c>
      <c r="S18" s="155">
        <v>88640</v>
      </c>
      <c r="T18" s="146">
        <v>102860</v>
      </c>
      <c r="U18" s="156">
        <v>100274</v>
      </c>
      <c r="V18" s="146">
        <v>100775</v>
      </c>
      <c r="W18" s="146">
        <v>103267.18155407908</v>
      </c>
      <c r="X18" s="146">
        <f t="shared" si="0"/>
        <v>105415.01868594316</v>
      </c>
      <c r="Y18" s="146">
        <f t="shared" si="1"/>
        <v>107939.10594668632</v>
      </c>
      <c r="Z18" s="146">
        <f t="shared" si="2"/>
        <v>110353.87216916351</v>
      </c>
      <c r="AA18" s="146">
        <f t="shared" si="3"/>
        <v>112909.4386128317</v>
      </c>
      <c r="AB18" s="146">
        <f t="shared" si="4"/>
        <v>115479.79279960238</v>
      </c>
    </row>
    <row r="19" spans="1:28" s="143" customFormat="1" ht="43.5" customHeight="1" x14ac:dyDescent="0.2">
      <c r="A19" s="165"/>
      <c r="B19" s="163" t="s">
        <v>79</v>
      </c>
      <c r="C19" s="168">
        <f>SUM(C6:C18)</f>
        <v>517438</v>
      </c>
      <c r="D19" s="169">
        <f t="shared" ref="D19:W19" si="5">SUM(D6:D18)</f>
        <v>552139</v>
      </c>
      <c r="E19" s="169">
        <f t="shared" si="5"/>
        <v>588990</v>
      </c>
      <c r="F19" s="169">
        <f t="shared" si="5"/>
        <v>608384</v>
      </c>
      <c r="G19" s="169">
        <f t="shared" si="5"/>
        <v>614390</v>
      </c>
      <c r="H19" s="170">
        <f t="shared" si="5"/>
        <v>640461</v>
      </c>
      <c r="I19" s="170">
        <f t="shared" si="5"/>
        <v>683340</v>
      </c>
      <c r="J19" s="170">
        <f t="shared" si="5"/>
        <v>709685</v>
      </c>
      <c r="K19" s="170">
        <f t="shared" si="5"/>
        <v>745880</v>
      </c>
      <c r="L19" s="170">
        <f t="shared" si="5"/>
        <v>781017</v>
      </c>
      <c r="M19" s="170">
        <f t="shared" si="5"/>
        <v>804692</v>
      </c>
      <c r="N19" s="170">
        <f t="shared" si="5"/>
        <v>821489</v>
      </c>
      <c r="O19" s="170">
        <f t="shared" si="5"/>
        <v>831956</v>
      </c>
      <c r="P19" s="170">
        <f t="shared" si="5"/>
        <v>853167</v>
      </c>
      <c r="Q19" s="170">
        <f t="shared" si="5"/>
        <v>880280</v>
      </c>
      <c r="R19" s="170">
        <f t="shared" si="5"/>
        <v>817375</v>
      </c>
      <c r="S19" s="170">
        <f t="shared" si="5"/>
        <v>905132</v>
      </c>
      <c r="T19" s="170">
        <f t="shared" si="5"/>
        <v>973165</v>
      </c>
      <c r="U19" s="170">
        <f t="shared" si="5"/>
        <v>982221</v>
      </c>
      <c r="V19" s="170">
        <f t="shared" si="5"/>
        <v>996471</v>
      </c>
      <c r="W19" s="170">
        <f t="shared" si="5"/>
        <v>1023465.1349187322</v>
      </c>
      <c r="X19" s="170">
        <f>SUM(X6:X18)</f>
        <v>1044752.0180007068</v>
      </c>
      <c r="Y19" s="170">
        <f t="shared" ref="Y19:AB19" si="6">SUM(Y6:Y18)</f>
        <v>1069767.8581736111</v>
      </c>
      <c r="Z19" s="170">
        <f t="shared" si="6"/>
        <v>1093700.2343699206</v>
      </c>
      <c r="AA19" s="170">
        <f t="shared" si="6"/>
        <v>1119028.0598775134</v>
      </c>
      <c r="AB19" s="170">
        <f t="shared" si="6"/>
        <v>1144502.444429924</v>
      </c>
    </row>
    <row r="20" spans="1:28" ht="17" thickBot="1" x14ac:dyDescent="0.25">
      <c r="A20" s="162"/>
      <c r="B20" s="164" t="s">
        <v>76</v>
      </c>
      <c r="C20" s="161">
        <v>0</v>
      </c>
      <c r="D20" s="167">
        <f>IFERROR((D$19/C$19)-1,"")</f>
        <v>6.7063107077562911E-2</v>
      </c>
      <c r="E20" s="167">
        <f t="shared" ref="E20:W20" si="7">IFERROR((E$19/D$19)-1,"")</f>
        <v>6.6742251498264071E-2</v>
      </c>
      <c r="F20" s="167">
        <f t="shared" si="7"/>
        <v>3.2927553948284283E-2</v>
      </c>
      <c r="G20" s="167">
        <f t="shared" si="7"/>
        <v>9.8720544918997621E-3</v>
      </c>
      <c r="H20" s="166">
        <f t="shared" si="7"/>
        <v>4.2433958886049616E-2</v>
      </c>
      <c r="I20" s="166">
        <f t="shared" si="7"/>
        <v>6.6950212425112454E-2</v>
      </c>
      <c r="J20" s="166">
        <f t="shared" si="7"/>
        <v>3.8553282407000955E-2</v>
      </c>
      <c r="K20" s="172">
        <f t="shared" si="7"/>
        <v>5.1001500665788235E-2</v>
      </c>
      <c r="L20" s="166">
        <f t="shared" si="7"/>
        <v>4.7108113905722115E-2</v>
      </c>
      <c r="M20" s="166">
        <f t="shared" si="7"/>
        <v>3.0313040561217086E-2</v>
      </c>
      <c r="N20" s="166">
        <f t="shared" si="7"/>
        <v>2.0873825016279435E-2</v>
      </c>
      <c r="O20" s="166">
        <f t="shared" si="7"/>
        <v>1.2741497451578709E-2</v>
      </c>
      <c r="P20" s="166">
        <f t="shared" si="7"/>
        <v>2.5495338695796343E-2</v>
      </c>
      <c r="Q20" s="166">
        <f t="shared" si="7"/>
        <v>3.1779241344308984E-2</v>
      </c>
      <c r="R20" s="166">
        <f t="shared" si="7"/>
        <v>-7.146021720361706E-2</v>
      </c>
      <c r="S20" s="166">
        <f t="shared" si="7"/>
        <v>0.10736442881174502</v>
      </c>
      <c r="T20" s="166">
        <f t="shared" si="7"/>
        <v>7.5163622543452213E-2</v>
      </c>
      <c r="U20" s="166">
        <f t="shared" si="7"/>
        <v>9.3057189685201713E-3</v>
      </c>
      <c r="V20" s="166">
        <f t="shared" si="7"/>
        <v>1.4507936604898575E-2</v>
      </c>
      <c r="W20" s="166">
        <f t="shared" si="7"/>
        <v>2.7089734592107728E-2</v>
      </c>
      <c r="X20" s="171">
        <f>AVERAGE(V20:W20)</f>
        <v>2.0798835598503151E-2</v>
      </c>
      <c r="Y20" s="171">
        <f t="shared" ref="Y20:AB20" si="8">AVERAGE(W20:X20)</f>
        <v>2.394428509530544E-2</v>
      </c>
      <c r="Z20" s="171">
        <f t="shared" si="8"/>
        <v>2.2371560346904296E-2</v>
      </c>
      <c r="AA20" s="171">
        <f t="shared" si="8"/>
        <v>2.3157922721104868E-2</v>
      </c>
      <c r="AB20" s="171">
        <f t="shared" si="8"/>
        <v>2.2764741534004582E-2</v>
      </c>
    </row>
    <row r="21" spans="1:28" ht="16" thickBot="1" x14ac:dyDescent="0.25">
      <c r="X21" s="189" t="s">
        <v>78</v>
      </c>
      <c r="Y21" s="190"/>
      <c r="Z21" s="190"/>
      <c r="AA21" s="190"/>
      <c r="AB21" s="191"/>
    </row>
    <row r="23" spans="1:28" x14ac:dyDescent="0.2">
      <c r="B23" s="173"/>
    </row>
  </sheetData>
  <mergeCells count="3">
    <mergeCell ref="A1:B2"/>
    <mergeCell ref="X3:AB4"/>
    <mergeCell ref="X21:A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4CFF-BE42-42BE-B456-10ED5AA13F52}">
  <dimension ref="A1:CH131"/>
  <sheetViews>
    <sheetView showGridLines="0" topLeftCell="BT1" zoomScaleNormal="100" workbookViewId="0">
      <selection activeCell="AA21" sqref="AA21:AD21"/>
    </sheetView>
  </sheetViews>
  <sheetFormatPr baseColWidth="10" defaultColWidth="11.5" defaultRowHeight="13" x14ac:dyDescent="0.2"/>
  <cols>
    <col min="1" max="1" width="21.83203125" style="1" customWidth="1"/>
    <col min="2" max="2" width="70.5" style="1" customWidth="1"/>
    <col min="3" max="3" width="11.5" style="1" customWidth="1"/>
    <col min="4" max="4" width="11.5" style="55" customWidth="1"/>
    <col min="5" max="5" width="11.5" style="1" customWidth="1"/>
    <col min="6" max="16384" width="11.5" style="1"/>
  </cols>
  <sheetData>
    <row r="1" spans="1:86" s="81" customFormat="1" ht="60" customHeight="1" x14ac:dyDescent="0.2">
      <c r="A1" s="193"/>
      <c r="B1" s="193"/>
      <c r="C1" s="193"/>
      <c r="D1" s="193"/>
      <c r="E1" s="193"/>
      <c r="F1" s="193"/>
      <c r="G1" s="193"/>
    </row>
    <row r="2" spans="1:86" s="81" customFormat="1" ht="8.5" customHeight="1" x14ac:dyDescent="0.2">
      <c r="A2" s="82"/>
      <c r="B2" s="82"/>
      <c r="C2" s="82"/>
      <c r="D2" s="82"/>
      <c r="E2" s="82"/>
      <c r="F2" s="82"/>
      <c r="G2" s="82"/>
    </row>
    <row r="3" spans="1:86" s="4" customFormat="1" ht="14.25" customHeight="1" x14ac:dyDescent="0.3">
      <c r="A3" s="175" t="s">
        <v>0</v>
      </c>
      <c r="B3" s="175"/>
      <c r="C3" s="175"/>
      <c r="D3" s="175"/>
      <c r="E3" s="175"/>
      <c r="F3" s="175"/>
      <c r="G3" s="175"/>
    </row>
    <row r="4" spans="1:86" s="4" customFormat="1" ht="14.25" customHeight="1" x14ac:dyDescent="0.3">
      <c r="A4" s="175"/>
      <c r="B4" s="175"/>
      <c r="C4" s="175"/>
      <c r="D4" s="175"/>
      <c r="E4" s="175"/>
      <c r="F4" s="175"/>
      <c r="G4" s="175"/>
    </row>
    <row r="5" spans="1:86" s="2" customFormat="1" ht="13.5" customHeight="1" x14ac:dyDescent="0.2">
      <c r="A5" s="5" t="s">
        <v>1</v>
      </c>
      <c r="B5" s="6"/>
      <c r="C5" s="6"/>
      <c r="D5" s="6"/>
      <c r="E5" s="6"/>
      <c r="F5" s="6"/>
      <c r="G5" s="7"/>
      <c r="I5" s="83" t="s">
        <v>2</v>
      </c>
    </row>
    <row r="6" spans="1:86" s="2" customFormat="1" ht="13.5" customHeight="1" x14ac:dyDescent="0.2">
      <c r="A6" s="5" t="s">
        <v>3</v>
      </c>
      <c r="B6" s="6"/>
      <c r="C6" s="6"/>
      <c r="D6" s="6"/>
      <c r="E6" s="6"/>
      <c r="F6" s="6"/>
      <c r="G6" s="7"/>
      <c r="I6" s="83" t="s">
        <v>4</v>
      </c>
    </row>
    <row r="7" spans="1:86" s="2" customFormat="1" ht="13.5" customHeight="1" x14ac:dyDescent="0.2">
      <c r="A7" s="5" t="s">
        <v>5</v>
      </c>
      <c r="B7" s="6"/>
      <c r="C7" s="6"/>
      <c r="D7" s="6"/>
      <c r="E7" s="6"/>
      <c r="F7" s="6"/>
      <c r="G7" s="7"/>
      <c r="I7" s="83" t="s">
        <v>6</v>
      </c>
    </row>
    <row r="8" spans="1:86" s="2" customFormat="1" ht="15.75" customHeight="1" x14ac:dyDescent="0.25">
      <c r="A8" s="9" t="s">
        <v>7</v>
      </c>
      <c r="B8" s="10"/>
      <c r="C8" s="10"/>
      <c r="D8" s="10"/>
      <c r="E8" s="10"/>
      <c r="F8" s="10"/>
      <c r="G8" s="11"/>
      <c r="R8" s="12"/>
    </row>
    <row r="9" spans="1:86" ht="12" customHeight="1" x14ac:dyDescent="0.2">
      <c r="A9" s="13"/>
      <c r="B9" s="13"/>
      <c r="C9" s="13"/>
      <c r="D9" s="13"/>
    </row>
    <row r="10" spans="1:86" s="13" customFormat="1" ht="40" customHeight="1" x14ac:dyDescent="0.2">
      <c r="A10" s="194" t="s">
        <v>8</v>
      </c>
      <c r="B10" s="192" t="s">
        <v>10</v>
      </c>
      <c r="C10" s="192">
        <v>2005</v>
      </c>
      <c r="D10" s="192"/>
      <c r="E10" s="192"/>
      <c r="F10" s="192"/>
      <c r="G10" s="192">
        <v>2006</v>
      </c>
      <c r="H10" s="192"/>
      <c r="I10" s="192"/>
      <c r="J10" s="192"/>
      <c r="K10" s="192">
        <v>2007</v>
      </c>
      <c r="L10" s="192"/>
      <c r="M10" s="192"/>
      <c r="N10" s="192"/>
      <c r="O10" s="192">
        <v>2008</v>
      </c>
      <c r="P10" s="192"/>
      <c r="Q10" s="192"/>
      <c r="R10" s="192"/>
      <c r="S10" s="192">
        <v>2009</v>
      </c>
      <c r="T10" s="192"/>
      <c r="U10" s="192"/>
      <c r="V10" s="192"/>
      <c r="W10" s="192">
        <v>2010</v>
      </c>
      <c r="X10" s="192"/>
      <c r="Y10" s="192"/>
      <c r="Z10" s="192"/>
      <c r="AA10" s="192">
        <v>2011</v>
      </c>
      <c r="AB10" s="192"/>
      <c r="AC10" s="192"/>
      <c r="AD10" s="192"/>
      <c r="AE10" s="192">
        <v>2012</v>
      </c>
      <c r="AF10" s="192"/>
      <c r="AG10" s="192"/>
      <c r="AH10" s="192"/>
      <c r="AI10" s="192">
        <v>2013</v>
      </c>
      <c r="AJ10" s="192"/>
      <c r="AK10" s="192"/>
      <c r="AL10" s="192"/>
      <c r="AM10" s="192">
        <v>2014</v>
      </c>
      <c r="AN10" s="192"/>
      <c r="AO10" s="192"/>
      <c r="AP10" s="192"/>
      <c r="AQ10" s="192">
        <v>2015</v>
      </c>
      <c r="AR10" s="192"/>
      <c r="AS10" s="192"/>
      <c r="AT10" s="192"/>
      <c r="AU10" s="192">
        <v>2016</v>
      </c>
      <c r="AV10" s="192"/>
      <c r="AW10" s="192"/>
      <c r="AX10" s="192"/>
      <c r="AY10" s="192">
        <v>2017</v>
      </c>
      <c r="AZ10" s="192"/>
      <c r="BA10" s="192"/>
      <c r="BB10" s="192"/>
      <c r="BC10" s="192">
        <v>2018</v>
      </c>
      <c r="BD10" s="192"/>
      <c r="BE10" s="192"/>
      <c r="BF10" s="192"/>
      <c r="BG10" s="192">
        <v>2019</v>
      </c>
      <c r="BH10" s="192"/>
      <c r="BI10" s="192"/>
      <c r="BJ10" s="192"/>
      <c r="BK10" s="192">
        <v>2020</v>
      </c>
      <c r="BL10" s="192"/>
      <c r="BM10" s="192"/>
      <c r="BN10" s="192"/>
      <c r="BO10" s="192">
        <v>2021</v>
      </c>
      <c r="BP10" s="192"/>
      <c r="BQ10" s="192"/>
      <c r="BR10" s="192"/>
      <c r="BS10" s="192">
        <v>2022</v>
      </c>
      <c r="BT10" s="192"/>
      <c r="BU10" s="192"/>
      <c r="BV10" s="192"/>
      <c r="BW10" s="192">
        <v>2023</v>
      </c>
      <c r="BX10" s="192"/>
      <c r="BY10" s="192"/>
      <c r="BZ10" s="192"/>
      <c r="CA10" s="192" t="s">
        <v>12</v>
      </c>
      <c r="CB10" s="192"/>
      <c r="CC10" s="192"/>
      <c r="CD10" s="192"/>
      <c r="CE10" s="192" t="s">
        <v>13</v>
      </c>
      <c r="CF10" s="192"/>
      <c r="CG10" s="192"/>
      <c r="CH10" s="197"/>
    </row>
    <row r="11" spans="1:86" s="13" customFormat="1" ht="12" customHeight="1" x14ac:dyDescent="0.2">
      <c r="A11" s="195"/>
      <c r="B11" s="196"/>
      <c r="C11" s="84" t="s">
        <v>14</v>
      </c>
      <c r="D11" s="84" t="s">
        <v>15</v>
      </c>
      <c r="E11" s="84" t="s">
        <v>16</v>
      </c>
      <c r="F11" s="84" t="s">
        <v>17</v>
      </c>
      <c r="G11" s="84" t="s">
        <v>14</v>
      </c>
      <c r="H11" s="84" t="s">
        <v>15</v>
      </c>
      <c r="I11" s="84" t="s">
        <v>16</v>
      </c>
      <c r="J11" s="84" t="s">
        <v>17</v>
      </c>
      <c r="K11" s="84" t="s">
        <v>14</v>
      </c>
      <c r="L11" s="84" t="s">
        <v>15</v>
      </c>
      <c r="M11" s="84" t="s">
        <v>16</v>
      </c>
      <c r="N11" s="84" t="s">
        <v>17</v>
      </c>
      <c r="O11" s="84" t="s">
        <v>14</v>
      </c>
      <c r="P11" s="84" t="s">
        <v>15</v>
      </c>
      <c r="Q11" s="84" t="s">
        <v>16</v>
      </c>
      <c r="R11" s="84" t="s">
        <v>17</v>
      </c>
      <c r="S11" s="84" t="s">
        <v>14</v>
      </c>
      <c r="T11" s="84" t="s">
        <v>15</v>
      </c>
      <c r="U11" s="84" t="s">
        <v>16</v>
      </c>
      <c r="V11" s="84" t="s">
        <v>17</v>
      </c>
      <c r="W11" s="84" t="s">
        <v>14</v>
      </c>
      <c r="X11" s="84" t="s">
        <v>15</v>
      </c>
      <c r="Y11" s="84" t="s">
        <v>16</v>
      </c>
      <c r="Z11" s="84" t="s">
        <v>17</v>
      </c>
      <c r="AA11" s="84" t="s">
        <v>14</v>
      </c>
      <c r="AB11" s="84" t="s">
        <v>15</v>
      </c>
      <c r="AC11" s="84" t="s">
        <v>16</v>
      </c>
      <c r="AD11" s="84" t="s">
        <v>17</v>
      </c>
      <c r="AE11" s="84" t="s">
        <v>14</v>
      </c>
      <c r="AF11" s="84" t="s">
        <v>15</v>
      </c>
      <c r="AG11" s="84" t="s">
        <v>16</v>
      </c>
      <c r="AH11" s="84" t="s">
        <v>17</v>
      </c>
      <c r="AI11" s="84" t="s">
        <v>14</v>
      </c>
      <c r="AJ11" s="84" t="s">
        <v>15</v>
      </c>
      <c r="AK11" s="84" t="s">
        <v>16</v>
      </c>
      <c r="AL11" s="84" t="s">
        <v>17</v>
      </c>
      <c r="AM11" s="84" t="s">
        <v>14</v>
      </c>
      <c r="AN11" s="84" t="s">
        <v>15</v>
      </c>
      <c r="AO11" s="84" t="s">
        <v>16</v>
      </c>
      <c r="AP11" s="84" t="s">
        <v>17</v>
      </c>
      <c r="AQ11" s="84" t="s">
        <v>14</v>
      </c>
      <c r="AR11" s="84" t="s">
        <v>15</v>
      </c>
      <c r="AS11" s="84" t="s">
        <v>16</v>
      </c>
      <c r="AT11" s="84" t="s">
        <v>17</v>
      </c>
      <c r="AU11" s="84" t="s">
        <v>14</v>
      </c>
      <c r="AV11" s="84" t="s">
        <v>15</v>
      </c>
      <c r="AW11" s="84" t="s">
        <v>16</v>
      </c>
      <c r="AX11" s="84" t="s">
        <v>17</v>
      </c>
      <c r="AY11" s="84" t="s">
        <v>14</v>
      </c>
      <c r="AZ11" s="84" t="s">
        <v>15</v>
      </c>
      <c r="BA11" s="84" t="s">
        <v>16</v>
      </c>
      <c r="BB11" s="84" t="s">
        <v>17</v>
      </c>
      <c r="BC11" s="84" t="s">
        <v>14</v>
      </c>
      <c r="BD11" s="84" t="s">
        <v>15</v>
      </c>
      <c r="BE11" s="84" t="s">
        <v>16</v>
      </c>
      <c r="BF11" s="84" t="s">
        <v>17</v>
      </c>
      <c r="BG11" s="84" t="s">
        <v>14</v>
      </c>
      <c r="BH11" s="84" t="s">
        <v>15</v>
      </c>
      <c r="BI11" s="84" t="s">
        <v>16</v>
      </c>
      <c r="BJ11" s="84" t="s">
        <v>17</v>
      </c>
      <c r="BK11" s="84" t="s">
        <v>14</v>
      </c>
      <c r="BL11" s="84" t="s">
        <v>15</v>
      </c>
      <c r="BM11" s="84" t="s">
        <v>16</v>
      </c>
      <c r="BN11" s="84" t="s">
        <v>17</v>
      </c>
      <c r="BO11" s="84" t="s">
        <v>14</v>
      </c>
      <c r="BP11" s="84" t="s">
        <v>15</v>
      </c>
      <c r="BQ11" s="84" t="s">
        <v>16</v>
      </c>
      <c r="BR11" s="84" t="s">
        <v>17</v>
      </c>
      <c r="BS11" s="84" t="s">
        <v>14</v>
      </c>
      <c r="BT11" s="84" t="s">
        <v>15</v>
      </c>
      <c r="BU11" s="84" t="s">
        <v>16</v>
      </c>
      <c r="BV11" s="84" t="s">
        <v>17</v>
      </c>
      <c r="BW11" s="84" t="s">
        <v>14</v>
      </c>
      <c r="BX11" s="84" t="s">
        <v>15</v>
      </c>
      <c r="BY11" s="84" t="s">
        <v>16</v>
      </c>
      <c r="BZ11" s="84" t="s">
        <v>17</v>
      </c>
      <c r="CA11" s="84" t="s">
        <v>14</v>
      </c>
      <c r="CB11" s="84" t="s">
        <v>15</v>
      </c>
      <c r="CC11" s="84" t="s">
        <v>16</v>
      </c>
      <c r="CD11" s="84" t="s">
        <v>17</v>
      </c>
      <c r="CE11" s="84" t="s">
        <v>14</v>
      </c>
      <c r="CF11" s="84" t="s">
        <v>15</v>
      </c>
      <c r="CG11" s="84" t="s">
        <v>16</v>
      </c>
      <c r="CH11" s="85" t="s">
        <v>17</v>
      </c>
    </row>
    <row r="12" spans="1:86" x14ac:dyDescent="0.2">
      <c r="A12" s="86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8"/>
    </row>
    <row r="13" spans="1:86" ht="13.5" customHeight="1" x14ac:dyDescent="0.2">
      <c r="A13" s="89" t="s">
        <v>56</v>
      </c>
      <c r="B13" s="38" t="s">
        <v>57</v>
      </c>
      <c r="C13" s="90">
        <v>113928.89628709466</v>
      </c>
      <c r="D13" s="90">
        <v>124084.40931050594</v>
      </c>
      <c r="E13" s="90">
        <v>123351.17468360958</v>
      </c>
      <c r="F13" s="90">
        <v>140033.51971878984</v>
      </c>
      <c r="G13" s="90">
        <v>123815.12281325576</v>
      </c>
      <c r="H13" s="90">
        <v>133231.53227489945</v>
      </c>
      <c r="I13" s="90">
        <v>137786.66469891297</v>
      </c>
      <c r="J13" s="90">
        <v>148804.68021293194</v>
      </c>
      <c r="K13" s="90">
        <v>135409.58797127064</v>
      </c>
      <c r="L13" s="90">
        <v>144784.41871533985</v>
      </c>
      <c r="M13" s="90">
        <v>148604.92214607567</v>
      </c>
      <c r="N13" s="90">
        <v>160090.0711673139</v>
      </c>
      <c r="O13" s="90">
        <v>143788.10595166913</v>
      </c>
      <c r="P13" s="90">
        <v>151865.4884714651</v>
      </c>
      <c r="Q13" s="90">
        <v>156129.814893965</v>
      </c>
      <c r="R13" s="90">
        <v>168374.59068290083</v>
      </c>
      <c r="S13" s="90">
        <v>145532.07325930198</v>
      </c>
      <c r="T13" s="90">
        <v>153254.64788219135</v>
      </c>
      <c r="U13" s="90">
        <v>154800.28190833901</v>
      </c>
      <c r="V13" s="90">
        <v>168145.99695016764</v>
      </c>
      <c r="W13" s="90">
        <v>151170.8432970556</v>
      </c>
      <c r="X13" s="90">
        <v>162607.50427399567</v>
      </c>
      <c r="Y13" s="90">
        <v>164875.48949067137</v>
      </c>
      <c r="Z13" s="90">
        <v>180663.1629382773</v>
      </c>
      <c r="AA13" s="90">
        <v>163099.39600952493</v>
      </c>
      <c r="AB13" s="90">
        <v>176876.0570063882</v>
      </c>
      <c r="AC13" s="90">
        <v>180404.73974183641</v>
      </c>
      <c r="AD13" s="90">
        <v>194565.80724225048</v>
      </c>
      <c r="AE13" s="90">
        <v>174812.4659443938</v>
      </c>
      <c r="AF13" s="90">
        <v>188008.5351240196</v>
      </c>
      <c r="AG13" s="90">
        <v>186033.63766328778</v>
      </c>
      <c r="AH13" s="90">
        <v>201113.36126829888</v>
      </c>
      <c r="AI13" s="90">
        <v>182393.40452078753</v>
      </c>
      <c r="AJ13" s="90">
        <v>198564.8710468733</v>
      </c>
      <c r="AK13" s="90">
        <v>200275.98344735173</v>
      </c>
      <c r="AL13" s="90">
        <v>212902.74098498741</v>
      </c>
      <c r="AM13" s="90">
        <v>195439.59094574099</v>
      </c>
      <c r="AN13" s="90">
        <v>209079.40402974273</v>
      </c>
      <c r="AO13" s="90">
        <v>209503.60646765144</v>
      </c>
      <c r="AP13" s="90">
        <v>227658.39855686485</v>
      </c>
      <c r="AQ13" s="90">
        <v>201365.25699851249</v>
      </c>
      <c r="AR13" s="90">
        <v>212547.89623898565</v>
      </c>
      <c r="AS13" s="90">
        <v>219441.81803600836</v>
      </c>
      <c r="AT13" s="90">
        <v>228151.02872649344</v>
      </c>
      <c r="AU13" s="90">
        <v>208074.33892428363</v>
      </c>
      <c r="AV13" s="90">
        <v>213949.74112079511</v>
      </c>
      <c r="AW13" s="90">
        <v>220373.30715009975</v>
      </c>
      <c r="AX13" s="90">
        <v>229697.61280482161</v>
      </c>
      <c r="AY13" s="90">
        <v>210291.93031860312</v>
      </c>
      <c r="AZ13" s="90">
        <v>216680.17576528469</v>
      </c>
      <c r="BA13" s="90">
        <v>223348.93759398846</v>
      </c>
      <c r="BB13" s="90">
        <v>231576.95632212376</v>
      </c>
      <c r="BC13" s="90">
        <v>213668.71855813652</v>
      </c>
      <c r="BD13" s="90">
        <v>224260.03429754972</v>
      </c>
      <c r="BE13" s="90">
        <v>231147.02525580328</v>
      </c>
      <c r="BF13" s="90">
        <v>243365.22188851039</v>
      </c>
      <c r="BG13" s="90">
        <v>223423.39854792968</v>
      </c>
      <c r="BH13" s="90">
        <v>232655.88959561719</v>
      </c>
      <c r="BI13" s="90">
        <v>242127.15282652242</v>
      </c>
      <c r="BJ13" s="90">
        <v>250928.55902993074</v>
      </c>
      <c r="BK13" s="90">
        <v>224619.2411876625</v>
      </c>
      <c r="BL13" s="90">
        <v>190733.1401581683</v>
      </c>
      <c r="BM13" s="90">
        <v>218543.84299073651</v>
      </c>
      <c r="BN13" s="90">
        <v>243663.77566343272</v>
      </c>
      <c r="BO13" s="90">
        <v>228863.05215091445</v>
      </c>
      <c r="BP13" s="90">
        <v>236559.49250758748</v>
      </c>
      <c r="BQ13" s="90">
        <v>254910.15700699421</v>
      </c>
      <c r="BR13" s="90">
        <v>274583.2983345039</v>
      </c>
      <c r="BS13" s="90">
        <v>258686.31403868707</v>
      </c>
      <c r="BT13" s="90">
        <v>269145.7414155216</v>
      </c>
      <c r="BU13" s="90">
        <v>280995.57955815399</v>
      </c>
      <c r="BV13" s="90">
        <v>288085.36498763738</v>
      </c>
      <c r="BW13" s="90">
        <v>262714.58940624294</v>
      </c>
      <c r="BX13" s="90">
        <v>263719.91513662174</v>
      </c>
      <c r="BY13" s="90">
        <v>265792.62290887622</v>
      </c>
      <c r="BZ13" s="90">
        <v>278252.87254825915</v>
      </c>
      <c r="CA13" s="90">
        <v>256425.60969617331</v>
      </c>
      <c r="CB13" s="90">
        <v>267570.97814757464</v>
      </c>
      <c r="CC13" s="90">
        <v>275251.01981579291</v>
      </c>
      <c r="CD13" s="90">
        <v>288475.39234045916</v>
      </c>
      <c r="CE13" s="90">
        <v>267840.87936562143</v>
      </c>
      <c r="CF13" s="90">
        <v>278212.21488164586</v>
      </c>
      <c r="CG13" s="90">
        <v>288773.29038025439</v>
      </c>
      <c r="CH13" s="91">
        <v>295185.30126586655</v>
      </c>
    </row>
    <row r="14" spans="1:86" x14ac:dyDescent="0.2">
      <c r="A14" s="92" t="s">
        <v>58</v>
      </c>
      <c r="B14" s="93" t="s">
        <v>59</v>
      </c>
      <c r="C14" s="94">
        <v>96825.974289612757</v>
      </c>
      <c r="D14" s="94">
        <v>100409.30209640754</v>
      </c>
      <c r="E14" s="94">
        <v>102609.15022640373</v>
      </c>
      <c r="F14" s="94">
        <v>119232.57338757599</v>
      </c>
      <c r="G14" s="94">
        <v>102452.08798068188</v>
      </c>
      <c r="H14" s="94">
        <v>106038.6570604728</v>
      </c>
      <c r="I14" s="94">
        <v>109477.9557075351</v>
      </c>
      <c r="J14" s="94">
        <v>126974.29925131019</v>
      </c>
      <c r="K14" s="94">
        <v>108438.92892680501</v>
      </c>
      <c r="L14" s="94">
        <v>111779.59943631223</v>
      </c>
      <c r="M14" s="94">
        <v>116912.99127715929</v>
      </c>
      <c r="N14" s="94">
        <v>135459.48035972347</v>
      </c>
      <c r="O14" s="94">
        <v>114402.91978857733</v>
      </c>
      <c r="P14" s="94">
        <v>116980.10835839594</v>
      </c>
      <c r="Q14" s="94">
        <v>120931.49169565908</v>
      </c>
      <c r="R14" s="94">
        <v>140192.48015736768</v>
      </c>
      <c r="S14" s="94">
        <v>117214.41306105946</v>
      </c>
      <c r="T14" s="94">
        <v>120058.61603101123</v>
      </c>
      <c r="U14" s="94">
        <v>123358.44698094616</v>
      </c>
      <c r="V14" s="94">
        <v>142784.52392698321</v>
      </c>
      <c r="W14" s="94">
        <v>121815.43468713816</v>
      </c>
      <c r="X14" s="94">
        <v>125685.49135959569</v>
      </c>
      <c r="Y14" s="94">
        <v>130093.90896421559</v>
      </c>
      <c r="Z14" s="94">
        <v>151407.16498905059</v>
      </c>
      <c r="AA14" s="94">
        <v>127449.68216548389</v>
      </c>
      <c r="AB14" s="94">
        <v>133770.08911273439</v>
      </c>
      <c r="AC14" s="94">
        <v>137251.26113861726</v>
      </c>
      <c r="AD14" s="94">
        <v>160521.96758316443</v>
      </c>
      <c r="AE14" s="94">
        <v>136261.93698726763</v>
      </c>
      <c r="AF14" s="94">
        <v>140708.43409782782</v>
      </c>
      <c r="AG14" s="94">
        <v>144495.54321546826</v>
      </c>
      <c r="AH14" s="94">
        <v>168228.08569943634</v>
      </c>
      <c r="AI14" s="94">
        <v>142835.10566275395</v>
      </c>
      <c r="AJ14" s="94">
        <v>149048.09012336872</v>
      </c>
      <c r="AK14" s="94">
        <v>151944.02614197269</v>
      </c>
      <c r="AL14" s="94">
        <v>177438.7780719047</v>
      </c>
      <c r="AM14" s="94">
        <v>149686.06931906272</v>
      </c>
      <c r="AN14" s="94">
        <v>154955.27362065931</v>
      </c>
      <c r="AO14" s="94">
        <v>158197.49077201961</v>
      </c>
      <c r="AP14" s="94">
        <v>185295.16628825836</v>
      </c>
      <c r="AQ14" s="94">
        <v>155721.43098322058</v>
      </c>
      <c r="AR14" s="94">
        <v>161711.33367200877</v>
      </c>
      <c r="AS14" s="94">
        <v>166725.68598330361</v>
      </c>
      <c r="AT14" s="94">
        <v>186042.54936146704</v>
      </c>
      <c r="AU14" s="94">
        <v>158563.97163683255</v>
      </c>
      <c r="AV14" s="94">
        <v>164095.95938235405</v>
      </c>
      <c r="AW14" s="94">
        <v>166939.35987818136</v>
      </c>
      <c r="AX14" s="94">
        <v>191501.70910263201</v>
      </c>
      <c r="AY14" s="94">
        <v>160470.84138388842</v>
      </c>
      <c r="AZ14" s="94">
        <v>168618.97204707243</v>
      </c>
      <c r="BA14" s="94">
        <v>171932.0942343256</v>
      </c>
      <c r="BB14" s="94">
        <v>195951.09233471364</v>
      </c>
      <c r="BC14" s="94">
        <v>166269.06714194032</v>
      </c>
      <c r="BD14" s="94">
        <v>175723.42826488242</v>
      </c>
      <c r="BE14" s="94">
        <v>178796.00184759265</v>
      </c>
      <c r="BF14" s="94">
        <v>203859.50274558467</v>
      </c>
      <c r="BG14" s="94">
        <v>171813.54295655221</v>
      </c>
      <c r="BH14" s="94">
        <v>183080.61234332676</v>
      </c>
      <c r="BI14" s="94">
        <v>186937.13894270587</v>
      </c>
      <c r="BJ14" s="94">
        <v>213924.70575741507</v>
      </c>
      <c r="BK14" s="94">
        <v>178492.73875429007</v>
      </c>
      <c r="BL14" s="94">
        <v>156964.6476006899</v>
      </c>
      <c r="BM14" s="94">
        <v>172968.74362392441</v>
      </c>
      <c r="BN14" s="94">
        <v>215481.87002109562</v>
      </c>
      <c r="BO14" s="94">
        <v>184383.49853229205</v>
      </c>
      <c r="BP14" s="94">
        <v>191510.33536780535</v>
      </c>
      <c r="BQ14" s="94">
        <v>205151.34944565248</v>
      </c>
      <c r="BR14" s="94">
        <v>242517.81665425017</v>
      </c>
      <c r="BS14" s="94">
        <v>206010.52314058458</v>
      </c>
      <c r="BT14" s="94">
        <v>221009.294876573</v>
      </c>
      <c r="BU14" s="94">
        <v>222958.15781403091</v>
      </c>
      <c r="BV14" s="94">
        <v>247849.02416881151</v>
      </c>
      <c r="BW14" s="94">
        <v>210298.41390052048</v>
      </c>
      <c r="BX14" s="94">
        <v>222116.95102841969</v>
      </c>
      <c r="BY14" s="94">
        <v>223416.64225630779</v>
      </c>
      <c r="BZ14" s="94">
        <v>248089.99281475207</v>
      </c>
      <c r="CA14" s="94">
        <v>210280.2202396823</v>
      </c>
      <c r="CB14" s="94">
        <v>225183.15200709974</v>
      </c>
      <c r="CC14" s="94">
        <v>224980.36413322404</v>
      </c>
      <c r="CD14" s="94">
        <v>256724.26361999399</v>
      </c>
      <c r="CE14" s="94">
        <v>218025.51587256361</v>
      </c>
      <c r="CF14" s="94">
        <v>233652.06719614592</v>
      </c>
      <c r="CG14" s="94">
        <v>237786.52558230501</v>
      </c>
      <c r="CH14" s="95">
        <v>266461.12785705872</v>
      </c>
    </row>
    <row r="15" spans="1:86" ht="15" x14ac:dyDescent="0.2">
      <c r="A15" s="96" t="s">
        <v>60</v>
      </c>
      <c r="B15" s="97" t="s">
        <v>61</v>
      </c>
      <c r="C15" s="98">
        <v>82036.687865895467</v>
      </c>
      <c r="D15" s="98">
        <v>84948.292196401642</v>
      </c>
      <c r="E15" s="98">
        <v>86762.233843981245</v>
      </c>
      <c r="F15" s="98">
        <v>94993.786093721617</v>
      </c>
      <c r="G15" s="98">
        <v>86994.133924182999</v>
      </c>
      <c r="H15" s="98">
        <v>90321.976792213114</v>
      </c>
      <c r="I15" s="98">
        <v>92815.415284349263</v>
      </c>
      <c r="J15" s="98">
        <v>100821.47399925461</v>
      </c>
      <c r="K15" s="98">
        <v>92916.647884914986</v>
      </c>
      <c r="L15" s="98">
        <v>95726.89120837528</v>
      </c>
      <c r="M15" s="98">
        <v>99222.678602041502</v>
      </c>
      <c r="N15" s="98">
        <v>107394.78230466826</v>
      </c>
      <c r="O15" s="98">
        <v>97989.473461008412</v>
      </c>
      <c r="P15" s="98">
        <v>99424.300529794738</v>
      </c>
      <c r="Q15" s="98">
        <v>102764.6741710925</v>
      </c>
      <c r="R15" s="98">
        <v>111347.55183810437</v>
      </c>
      <c r="S15" s="98">
        <v>100026.39473328262</v>
      </c>
      <c r="T15" s="98">
        <v>101870.58154535729</v>
      </c>
      <c r="U15" s="98">
        <v>104015.2237942481</v>
      </c>
      <c r="V15" s="98">
        <v>112643.79992711202</v>
      </c>
      <c r="W15" s="98">
        <v>103799.36101174941</v>
      </c>
      <c r="X15" s="98">
        <v>106508.91110748393</v>
      </c>
      <c r="Y15" s="98">
        <v>109969.21070739742</v>
      </c>
      <c r="Z15" s="98">
        <v>119426.51717336928</v>
      </c>
      <c r="AA15" s="98">
        <v>108556.09634138168</v>
      </c>
      <c r="AB15" s="98">
        <v>113235.77853550982</v>
      </c>
      <c r="AC15" s="98">
        <v>115730.80284644966</v>
      </c>
      <c r="AD15" s="98">
        <v>126368.32227665886</v>
      </c>
      <c r="AE15" s="98">
        <v>116518.98021713775</v>
      </c>
      <c r="AF15" s="98">
        <v>119286.48355207173</v>
      </c>
      <c r="AG15" s="98">
        <v>122173.0814655494</v>
      </c>
      <c r="AH15" s="98">
        <v>132047.45476524104</v>
      </c>
      <c r="AI15" s="98">
        <v>121787.03750105909</v>
      </c>
      <c r="AJ15" s="98">
        <v>125697.13081553468</v>
      </c>
      <c r="AK15" s="98">
        <v>127427.93661778209</v>
      </c>
      <c r="AL15" s="98">
        <v>137786.89506562409</v>
      </c>
      <c r="AM15" s="98">
        <v>126810.99338769905</v>
      </c>
      <c r="AN15" s="98">
        <v>130399.77276805867</v>
      </c>
      <c r="AO15" s="98">
        <v>132771.01087259408</v>
      </c>
      <c r="AP15" s="98">
        <v>144502.22297164815</v>
      </c>
      <c r="AQ15" s="98">
        <v>131345.74055103556</v>
      </c>
      <c r="AR15" s="98">
        <v>134566.0964266184</v>
      </c>
      <c r="AS15" s="98">
        <v>137911.62403192217</v>
      </c>
      <c r="AT15" s="98">
        <v>147189.53899042387</v>
      </c>
      <c r="AU15" s="98">
        <v>134710.34129725027</v>
      </c>
      <c r="AV15" s="98">
        <v>136275.33029513847</v>
      </c>
      <c r="AW15" s="98">
        <v>138980.60724877872</v>
      </c>
      <c r="AX15" s="98">
        <v>149772.72115883257</v>
      </c>
      <c r="AY15" s="98">
        <v>135913.58178816328</v>
      </c>
      <c r="AZ15" s="98">
        <v>139850.76619676329</v>
      </c>
      <c r="BA15" s="98">
        <v>142791.44426144281</v>
      </c>
      <c r="BB15" s="98">
        <v>152679.20775363056</v>
      </c>
      <c r="BC15" s="98">
        <v>140483.36048469017</v>
      </c>
      <c r="BD15" s="98">
        <v>144733.83413655392</v>
      </c>
      <c r="BE15" s="98">
        <v>147349.3058594639</v>
      </c>
      <c r="BF15" s="98">
        <v>157156.49951929206</v>
      </c>
      <c r="BG15" s="98">
        <v>144587.35758870665</v>
      </c>
      <c r="BH15" s="98">
        <v>149984.35806213121</v>
      </c>
      <c r="BI15" s="98">
        <v>153725.83839790005</v>
      </c>
      <c r="BJ15" s="98">
        <v>165430.44595126208</v>
      </c>
      <c r="BK15" s="98">
        <v>151599.83771890326</v>
      </c>
      <c r="BL15" s="98">
        <v>124339.01202645297</v>
      </c>
      <c r="BM15" s="98">
        <v>140331.20635011749</v>
      </c>
      <c r="BN15" s="98">
        <v>166726.9439045263</v>
      </c>
      <c r="BO15" s="98">
        <v>154416.79812977565</v>
      </c>
      <c r="BP15" s="98">
        <v>155973.10683417559</v>
      </c>
      <c r="BQ15" s="98">
        <v>168170.24183364765</v>
      </c>
      <c r="BR15" s="98">
        <v>190277.85320240114</v>
      </c>
      <c r="BS15" s="98">
        <v>173355.59818893546</v>
      </c>
      <c r="BT15" s="98">
        <v>181882.0299174086</v>
      </c>
      <c r="BU15" s="98">
        <v>186525.82067623144</v>
      </c>
      <c r="BV15" s="98">
        <v>199240.55121742448</v>
      </c>
      <c r="BW15" s="98">
        <v>178431.02450973913</v>
      </c>
      <c r="BX15" s="98">
        <v>183252.66842951591</v>
      </c>
      <c r="BY15" s="98">
        <v>185662.95820780791</v>
      </c>
      <c r="BZ15" s="98">
        <v>197460.34885293708</v>
      </c>
      <c r="CA15" s="98">
        <v>179189.62729067379</v>
      </c>
      <c r="CB15" s="98">
        <v>185291.25956228067</v>
      </c>
      <c r="CC15" s="98">
        <v>189261.59098109842</v>
      </c>
      <c r="CD15" s="98">
        <v>203280.52216594707</v>
      </c>
      <c r="CE15" s="98">
        <v>185961.23478882859</v>
      </c>
      <c r="CF15" s="98">
        <v>192014.70140814749</v>
      </c>
      <c r="CG15" s="98">
        <v>196975.68384216112</v>
      </c>
      <c r="CH15" s="99">
        <v>209564.53419000737</v>
      </c>
    </row>
    <row r="16" spans="1:86" x14ac:dyDescent="0.2">
      <c r="A16" s="100" t="s">
        <v>62</v>
      </c>
      <c r="B16" s="101" t="s">
        <v>63</v>
      </c>
      <c r="C16" s="102">
        <v>14794.445947659111</v>
      </c>
      <c r="D16" s="102">
        <v>15480.99275762658</v>
      </c>
      <c r="E16" s="102">
        <v>15874.024848814115</v>
      </c>
      <c r="F16" s="102">
        <v>24225.53644590019</v>
      </c>
      <c r="G16" s="102">
        <v>15466.853227954996</v>
      </c>
      <c r="H16" s="102">
        <v>15749.043812571314</v>
      </c>
      <c r="I16" s="102">
        <v>16695.886790595025</v>
      </c>
      <c r="J16" s="102">
        <v>26132.216168878665</v>
      </c>
      <c r="K16" s="102">
        <v>15579.350297641569</v>
      </c>
      <c r="L16" s="102">
        <v>16128.584155104834</v>
      </c>
      <c r="M16" s="102">
        <v>17750.038614733861</v>
      </c>
      <c r="N16" s="102">
        <v>27969.026932519741</v>
      </c>
      <c r="O16" s="102">
        <v>16500.732137406052</v>
      </c>
      <c r="P16" s="102">
        <v>17630.863108373589</v>
      </c>
      <c r="Q16" s="102">
        <v>18252.409777687135</v>
      </c>
      <c r="R16" s="102">
        <v>28679.994976533228</v>
      </c>
      <c r="S16" s="102">
        <v>17189.97671713751</v>
      </c>
      <c r="T16" s="102">
        <v>18204.911464918936</v>
      </c>
      <c r="U16" s="102">
        <v>19363.433150173714</v>
      </c>
      <c r="V16" s="102">
        <v>30166.67866776984</v>
      </c>
      <c r="W16" s="102">
        <v>18048.824123722155</v>
      </c>
      <c r="X16" s="102">
        <v>19218.287168085059</v>
      </c>
      <c r="Y16" s="102">
        <v>20171.205781209195</v>
      </c>
      <c r="Z16" s="102">
        <v>31924.682926983583</v>
      </c>
      <c r="AA16" s="102">
        <v>18936.726635011608</v>
      </c>
      <c r="AB16" s="102">
        <v>20583.608066798282</v>
      </c>
      <c r="AC16" s="102">
        <v>21569.322124384606</v>
      </c>
      <c r="AD16" s="102">
        <v>34061.343173805515</v>
      </c>
      <c r="AE16" s="102">
        <v>19737.409138698913</v>
      </c>
      <c r="AF16" s="102">
        <v>21432.211168560196</v>
      </c>
      <c r="AG16" s="102">
        <v>22341.317636376163</v>
      </c>
      <c r="AH16" s="102">
        <v>36214.062056364732</v>
      </c>
      <c r="AI16" s="102">
        <v>21042.749682923804</v>
      </c>
      <c r="AJ16" s="102">
        <v>23358.57183028154</v>
      </c>
      <c r="AK16" s="102">
        <v>24528.876757934202</v>
      </c>
      <c r="AL16" s="102">
        <v>39665.801728860468</v>
      </c>
      <c r="AM16" s="102">
        <v>22883.844550891805</v>
      </c>
      <c r="AN16" s="102">
        <v>24577.397360006715</v>
      </c>
      <c r="AO16" s="102">
        <v>25455.193749865084</v>
      </c>
      <c r="AP16" s="102">
        <v>40757.564339236393</v>
      </c>
      <c r="AQ16" s="102">
        <v>24375.408819373883</v>
      </c>
      <c r="AR16" s="102">
        <v>27145.200185349586</v>
      </c>
      <c r="AS16" s="102">
        <v>28814.184010163935</v>
      </c>
      <c r="AT16" s="102">
        <v>38853.206985112593</v>
      </c>
      <c r="AU16" s="102">
        <v>23853.737569024051</v>
      </c>
      <c r="AV16" s="102">
        <v>27820.673109328105</v>
      </c>
      <c r="AW16" s="102">
        <v>27958.724279905706</v>
      </c>
      <c r="AX16" s="102">
        <v>41728.865041742145</v>
      </c>
      <c r="AY16" s="102">
        <v>24437.117983704258</v>
      </c>
      <c r="AZ16" s="102">
        <v>28729.999756670881</v>
      </c>
      <c r="BA16" s="102">
        <v>29095.947366507073</v>
      </c>
      <c r="BB16" s="102">
        <v>43519.934893117803</v>
      </c>
      <c r="BC16" s="102">
        <v>25738.385342458958</v>
      </c>
      <c r="BD16" s="102">
        <v>30991.207737382469</v>
      </c>
      <c r="BE16" s="102">
        <v>31447.169785201451</v>
      </c>
      <c r="BF16" s="102">
        <v>46853.237134957126</v>
      </c>
      <c r="BG16" s="102">
        <v>27196.719990644346</v>
      </c>
      <c r="BH16" s="102">
        <v>33111.356680835146</v>
      </c>
      <c r="BI16" s="102">
        <v>33220.084643331684</v>
      </c>
      <c r="BJ16" s="102">
        <v>48623.838685188806</v>
      </c>
      <c r="BK16" s="102">
        <v>26866.682602773111</v>
      </c>
      <c r="BL16" s="102">
        <v>32677.635611963633</v>
      </c>
      <c r="BM16" s="102">
        <v>32667.171677173763</v>
      </c>
      <c r="BN16" s="102">
        <v>48859.510108089489</v>
      </c>
      <c r="BO16" s="102">
        <v>30023.147273203598</v>
      </c>
      <c r="BP16" s="102">
        <v>35584.195995265058</v>
      </c>
      <c r="BQ16" s="102">
        <v>37034.309777496812</v>
      </c>
      <c r="BR16" s="102">
        <v>52280.346954034532</v>
      </c>
      <c r="BS16" s="102">
        <v>32405.161330817147</v>
      </c>
      <c r="BT16" s="102">
        <v>39061.83558208304</v>
      </c>
      <c r="BU16" s="102">
        <v>36216.020926993733</v>
      </c>
      <c r="BV16" s="102">
        <v>48768.982160106068</v>
      </c>
      <c r="BW16" s="102">
        <v>31239.049766119704</v>
      </c>
      <c r="BX16" s="102">
        <v>38779.957709775983</v>
      </c>
      <c r="BY16" s="102">
        <v>37519.9655775957</v>
      </c>
      <c r="BZ16" s="102">
        <v>51339.026946508602</v>
      </c>
      <c r="CA16" s="102">
        <v>30609.063938288902</v>
      </c>
      <c r="CB16" s="102">
        <v>39851.133789781983</v>
      </c>
      <c r="CC16" s="102">
        <v>35380.284154827328</v>
      </c>
      <c r="CD16" s="102">
        <v>53970.518117101768</v>
      </c>
      <c r="CE16" s="102">
        <v>31764.184477619612</v>
      </c>
      <c r="CF16" s="102">
        <v>41583.139687280476</v>
      </c>
      <c r="CG16" s="102">
        <v>40698.212097146738</v>
      </c>
      <c r="CH16" s="103">
        <v>57180.694688862866</v>
      </c>
    </row>
    <row r="17" spans="1:86" s="38" customFormat="1" x14ac:dyDescent="0.2">
      <c r="A17" s="104" t="s">
        <v>64</v>
      </c>
      <c r="B17" s="105" t="s">
        <v>65</v>
      </c>
      <c r="C17" s="90">
        <v>18548.464471810788</v>
      </c>
      <c r="D17" s="90">
        <v>23912.501721127886</v>
      </c>
      <c r="E17" s="90">
        <v>21772.334207400105</v>
      </c>
      <c r="F17" s="90">
        <v>22486.699599661228</v>
      </c>
      <c r="G17" s="90">
        <v>22240.983611978259</v>
      </c>
      <c r="H17" s="90">
        <v>27234.140178588274</v>
      </c>
      <c r="I17" s="90">
        <v>28214.251043044147</v>
      </c>
      <c r="J17" s="90">
        <v>23715.625166389313</v>
      </c>
      <c r="K17" s="90">
        <v>27087.062818168015</v>
      </c>
      <c r="L17" s="90">
        <v>32620.845911603821</v>
      </c>
      <c r="M17" s="90">
        <v>31425.568837482289</v>
      </c>
      <c r="N17" s="90">
        <v>26290.522432745875</v>
      </c>
      <c r="O17" s="90">
        <v>29447.37431684777</v>
      </c>
      <c r="P17" s="90">
        <v>34605.521189184583</v>
      </c>
      <c r="Q17" s="90">
        <v>34765.615710383587</v>
      </c>
      <c r="R17" s="90">
        <v>29271.488783584056</v>
      </c>
      <c r="S17" s="90">
        <v>28674.73363763719</v>
      </c>
      <c r="T17" s="90">
        <v>33083.15124070926</v>
      </c>
      <c r="U17" s="90">
        <v>31663.906819573851</v>
      </c>
      <c r="V17" s="90">
        <v>26604.208302079704</v>
      </c>
      <c r="W17" s="90">
        <v>29710.02898840926</v>
      </c>
      <c r="X17" s="90">
        <v>36649.584453412725</v>
      </c>
      <c r="Y17" s="90">
        <v>34768.272439959735</v>
      </c>
      <c r="Z17" s="90">
        <v>30375.11411821828</v>
      </c>
      <c r="AA17" s="90">
        <v>35503.927675856787</v>
      </c>
      <c r="AB17" s="90">
        <v>42885.83807734069</v>
      </c>
      <c r="AC17" s="90">
        <v>42623.776682858348</v>
      </c>
      <c r="AD17" s="90">
        <v>34838.457563944154</v>
      </c>
      <c r="AE17" s="90">
        <v>38420.058512825432</v>
      </c>
      <c r="AF17" s="90">
        <v>47146.295994076921</v>
      </c>
      <c r="AG17" s="90">
        <v>41460.760775533709</v>
      </c>
      <c r="AH17" s="90">
        <v>33323.884717563924</v>
      </c>
      <c r="AI17" s="90">
        <v>39587.914955691434</v>
      </c>
      <c r="AJ17" s="90">
        <v>49537.531741493287</v>
      </c>
      <c r="AK17" s="90">
        <v>48137.976836984162</v>
      </c>
      <c r="AL17" s="90">
        <v>35605.576465831102</v>
      </c>
      <c r="AM17" s="90">
        <v>45621.398534104083</v>
      </c>
      <c r="AN17" s="90">
        <v>54366.002569157041</v>
      </c>
      <c r="AO17" s="90">
        <v>51206.560645009391</v>
      </c>
      <c r="AP17" s="90">
        <v>42339.038251729464</v>
      </c>
      <c r="AQ17" s="90">
        <v>45629.520550446854</v>
      </c>
      <c r="AR17" s="90">
        <v>50836.47198982261</v>
      </c>
      <c r="AS17" s="90">
        <v>52724.857338992144</v>
      </c>
      <c r="AT17" s="90">
        <v>42114.150120738384</v>
      </c>
      <c r="AU17" s="90">
        <v>49513.564214996521</v>
      </c>
      <c r="AV17" s="90">
        <v>49853.542340527623</v>
      </c>
      <c r="AW17" s="90">
        <v>53431.836168168127</v>
      </c>
      <c r="AX17" s="90">
        <v>38195.057276307707</v>
      </c>
      <c r="AY17" s="90">
        <v>49865.41658629696</v>
      </c>
      <c r="AZ17" s="90">
        <v>48068.736811750248</v>
      </c>
      <c r="BA17" s="90">
        <v>51447.385225826634</v>
      </c>
      <c r="BB17" s="90">
        <v>35446.461376126157</v>
      </c>
      <c r="BC17" s="90">
        <v>47438.283024786935</v>
      </c>
      <c r="BD17" s="90">
        <v>48547.999793788003</v>
      </c>
      <c r="BE17" s="90">
        <v>52418.146546309232</v>
      </c>
      <c r="BF17" s="90">
        <v>39203.570635115815</v>
      </c>
      <c r="BG17" s="90">
        <v>51679.275280730661</v>
      </c>
      <c r="BH17" s="90">
        <v>49562.685705610391</v>
      </c>
      <c r="BI17" s="90">
        <v>55250.433496735357</v>
      </c>
      <c r="BJ17" s="90">
        <v>36654.605516923577</v>
      </c>
      <c r="BK17" s="90">
        <v>46075.353715426267</v>
      </c>
      <c r="BL17" s="90">
        <v>33674.438577926267</v>
      </c>
      <c r="BM17" s="90">
        <v>45531.961190932452</v>
      </c>
      <c r="BN17" s="90">
        <v>27921.246515715011</v>
      </c>
      <c r="BO17" s="90">
        <v>44240.554877335664</v>
      </c>
      <c r="BP17" s="90">
        <v>44827.742157869099</v>
      </c>
      <c r="BQ17" s="90">
        <v>49486.589057916397</v>
      </c>
      <c r="BR17" s="90">
        <v>32368.113906878847</v>
      </c>
      <c r="BS17" s="90">
        <v>52350.015341045546</v>
      </c>
      <c r="BT17" s="90">
        <v>47973.173462263563</v>
      </c>
      <c r="BU17" s="90">
        <v>57661.907066547807</v>
      </c>
      <c r="BV17" s="90">
        <v>40358.904130143092</v>
      </c>
      <c r="BW17" s="90">
        <v>52140.523534976863</v>
      </c>
      <c r="BX17" s="90">
        <v>41553.741638340565</v>
      </c>
      <c r="BY17" s="90">
        <v>42317.116151407412</v>
      </c>
      <c r="BZ17" s="90">
        <v>30394.618675275167</v>
      </c>
      <c r="CA17" s="90">
        <v>46049.784502839837</v>
      </c>
      <c r="CB17" s="90">
        <v>42342.659497999965</v>
      </c>
      <c r="CC17" s="90">
        <v>50160.977135688314</v>
      </c>
      <c r="CD17" s="90">
        <v>31834.578863471845</v>
      </c>
      <c r="CE17" s="90">
        <v>49687.498509334306</v>
      </c>
      <c r="CF17" s="90">
        <v>44507.053487093654</v>
      </c>
      <c r="CG17" s="90">
        <v>50879.048204960447</v>
      </c>
      <c r="CH17" s="91">
        <v>28873.791564107309</v>
      </c>
    </row>
    <row r="18" spans="1:86" x14ac:dyDescent="0.2">
      <c r="A18" s="100" t="s">
        <v>66</v>
      </c>
      <c r="B18" s="101" t="s">
        <v>67</v>
      </c>
      <c r="C18" s="102">
        <v>18507.161646577955</v>
      </c>
      <c r="D18" s="102">
        <v>19918.57581516726</v>
      </c>
      <c r="E18" s="102">
        <v>20553.35930800375</v>
      </c>
      <c r="F18" s="102">
        <v>26958.90323025105</v>
      </c>
      <c r="G18" s="102">
        <v>20661.048367401214</v>
      </c>
      <c r="H18" s="102">
        <v>22856.19992569241</v>
      </c>
      <c r="I18" s="102">
        <v>25926.200771634016</v>
      </c>
      <c r="J18" s="102">
        <v>32626.550935272367</v>
      </c>
      <c r="K18" s="102">
        <v>26638.7968835264</v>
      </c>
      <c r="L18" s="102">
        <v>29355.03091097881</v>
      </c>
      <c r="M18" s="102">
        <v>30867.009234428984</v>
      </c>
      <c r="N18" s="102">
        <v>35512.162971065809</v>
      </c>
      <c r="O18" s="102">
        <v>24056.646962482129</v>
      </c>
      <c r="P18" s="102">
        <v>30171.63725654416</v>
      </c>
      <c r="Q18" s="102">
        <v>30064.236303918409</v>
      </c>
      <c r="R18" s="102">
        <v>34757.479477055313</v>
      </c>
      <c r="S18" s="102">
        <v>25752.828500465079</v>
      </c>
      <c r="T18" s="102">
        <v>30823.172120422081</v>
      </c>
      <c r="U18" s="102">
        <v>32017.24655452224</v>
      </c>
      <c r="V18" s="102">
        <v>35760.752824590607</v>
      </c>
      <c r="W18" s="102">
        <v>25624.208045919495</v>
      </c>
      <c r="X18" s="102">
        <v>33920.147927744307</v>
      </c>
      <c r="Y18" s="102">
        <v>33380.258716695193</v>
      </c>
      <c r="Z18" s="102">
        <v>40264.385309641009</v>
      </c>
      <c r="AA18" s="102">
        <v>30263.715014174075</v>
      </c>
      <c r="AB18" s="102">
        <v>36864.72421414774</v>
      </c>
      <c r="AC18" s="102">
        <v>38555.824463466786</v>
      </c>
      <c r="AD18" s="102">
        <v>43769.73630821141</v>
      </c>
      <c r="AE18" s="102">
        <v>31661.211575581481</v>
      </c>
      <c r="AF18" s="102">
        <v>39745.519903221611</v>
      </c>
      <c r="AG18" s="102">
        <v>39330.24780917319</v>
      </c>
      <c r="AH18" s="102">
        <v>43700.020712023732</v>
      </c>
      <c r="AI18" s="102">
        <v>34741.942220514808</v>
      </c>
      <c r="AJ18" s="102">
        <v>42393.653468130513</v>
      </c>
      <c r="AK18" s="102">
        <v>40952.689854711723</v>
      </c>
      <c r="AL18" s="102">
        <v>49444.714456642963</v>
      </c>
      <c r="AM18" s="102">
        <v>38898.452922625205</v>
      </c>
      <c r="AN18" s="102">
        <v>45795.093990652182</v>
      </c>
      <c r="AO18" s="102">
        <v>46745.950643800192</v>
      </c>
      <c r="AP18" s="102">
        <v>51517.502442922436</v>
      </c>
      <c r="AQ18" s="102">
        <v>40790.507062331468</v>
      </c>
      <c r="AR18" s="102">
        <v>48657.840271490102</v>
      </c>
      <c r="AS18" s="102">
        <v>48478.489898520973</v>
      </c>
      <c r="AT18" s="102">
        <v>50168.16276765745</v>
      </c>
      <c r="AU18" s="102">
        <v>38485.367875256503</v>
      </c>
      <c r="AV18" s="102">
        <v>47214.044126349909</v>
      </c>
      <c r="AW18" s="102">
        <v>45284.073903914017</v>
      </c>
      <c r="AX18" s="102">
        <v>51675.514094479571</v>
      </c>
      <c r="AY18" s="102">
        <v>40404.478521526413</v>
      </c>
      <c r="AZ18" s="102">
        <v>46582.572008223178</v>
      </c>
      <c r="BA18" s="102">
        <v>47629.635982540945</v>
      </c>
      <c r="BB18" s="102">
        <v>51429.313487709471</v>
      </c>
      <c r="BC18" s="102">
        <v>39327.690236254683</v>
      </c>
      <c r="BD18" s="102">
        <v>48458.460764800504</v>
      </c>
      <c r="BE18" s="102">
        <v>48181.442329931444</v>
      </c>
      <c r="BF18" s="102">
        <v>52007.406669013348</v>
      </c>
      <c r="BG18" s="102">
        <v>44526.499921796531</v>
      </c>
      <c r="BH18" s="102">
        <v>48942.697185857898</v>
      </c>
      <c r="BI18" s="102">
        <v>48913.6896758027</v>
      </c>
      <c r="BJ18" s="102">
        <v>49796.113216542893</v>
      </c>
      <c r="BK18" s="102">
        <v>39636.464162447461</v>
      </c>
      <c r="BL18" s="102">
        <v>27744.58644278334</v>
      </c>
      <c r="BM18" s="102">
        <v>36407.213094510626</v>
      </c>
      <c r="BN18" s="102">
        <v>42994.736300258563</v>
      </c>
      <c r="BO18" s="102">
        <v>41623.676233873302</v>
      </c>
      <c r="BP18" s="102">
        <v>39400.704894606315</v>
      </c>
      <c r="BQ18" s="102">
        <v>41644.303643157014</v>
      </c>
      <c r="BR18" s="102">
        <v>48621.315228363361</v>
      </c>
      <c r="BS18" s="102">
        <v>47206.035492477044</v>
      </c>
      <c r="BT18" s="102">
        <v>43656.037840634177</v>
      </c>
      <c r="BU18" s="102">
        <v>47315.684425392355</v>
      </c>
      <c r="BV18" s="102">
        <v>52807.242241496424</v>
      </c>
      <c r="BW18" s="102">
        <v>44783.551830213335</v>
      </c>
      <c r="BX18" s="102">
        <v>38053.900546624973</v>
      </c>
      <c r="BY18" s="102">
        <v>39822.548398685467</v>
      </c>
      <c r="BZ18" s="102">
        <v>43847.999224476232</v>
      </c>
      <c r="CA18" s="102">
        <v>40362.981274797363</v>
      </c>
      <c r="CB18" s="102">
        <v>38158.95688150893</v>
      </c>
      <c r="CC18" s="102">
        <v>40774.235512911233</v>
      </c>
      <c r="CD18" s="102">
        <v>48326.826330782467</v>
      </c>
      <c r="CE18" s="102">
        <v>41144.243428445348</v>
      </c>
      <c r="CF18" s="102">
        <v>38968.158455056779</v>
      </c>
      <c r="CG18" s="102">
        <v>42833.056036557151</v>
      </c>
      <c r="CH18" s="103">
        <v>46919.348028139502</v>
      </c>
    </row>
    <row r="19" spans="1:86" s="38" customFormat="1" x14ac:dyDescent="0.2">
      <c r="A19" s="104" t="s">
        <v>68</v>
      </c>
      <c r="B19" s="105" t="s">
        <v>69</v>
      </c>
      <c r="C19" s="90">
        <v>19831.477633074552</v>
      </c>
      <c r="D19" s="90">
        <v>22333.865157383003</v>
      </c>
      <c r="E19" s="90">
        <v>22882.817521835528</v>
      </c>
      <c r="F19" s="90">
        <v>23076.839687706917</v>
      </c>
      <c r="G19" s="90">
        <v>22337.196251130565</v>
      </c>
      <c r="H19" s="90">
        <v>23616.113288567132</v>
      </c>
      <c r="I19" s="90">
        <v>24648.785254408082</v>
      </c>
      <c r="J19" s="90">
        <v>25910.905205894232</v>
      </c>
      <c r="K19" s="90">
        <v>22749.43964600905</v>
      </c>
      <c r="L19" s="90">
        <v>23879.21606401158</v>
      </c>
      <c r="M19" s="90">
        <v>26699.484676656</v>
      </c>
      <c r="N19" s="90">
        <v>29187.859613323373</v>
      </c>
      <c r="O19" s="90">
        <v>25886.59288118899</v>
      </c>
      <c r="P19" s="90">
        <v>26784.471003878214</v>
      </c>
      <c r="Q19" s="90">
        <v>26681.821471935124</v>
      </c>
      <c r="R19" s="90">
        <v>25251.114642997662</v>
      </c>
      <c r="S19" s="90">
        <v>24406.00523106796</v>
      </c>
      <c r="T19" s="90">
        <v>24028.164865612169</v>
      </c>
      <c r="U19" s="90">
        <v>24749.954200770255</v>
      </c>
      <c r="V19" s="90">
        <v>25973.875702549631</v>
      </c>
      <c r="W19" s="90">
        <v>24198.079124642249</v>
      </c>
      <c r="X19" s="90">
        <v>25176.64579551142</v>
      </c>
      <c r="Y19" s="90">
        <v>25210.557079011607</v>
      </c>
      <c r="Z19" s="90">
        <v>26617.718000834728</v>
      </c>
      <c r="AA19" s="90">
        <v>27426.424661583231</v>
      </c>
      <c r="AB19" s="90">
        <v>28064.06135534609</v>
      </c>
      <c r="AC19" s="90">
        <v>28190.064502382706</v>
      </c>
      <c r="AD19" s="90">
        <v>29927.44948068797</v>
      </c>
      <c r="AE19" s="90">
        <v>29769.724501654022</v>
      </c>
      <c r="AF19" s="90">
        <v>28695.080304655316</v>
      </c>
      <c r="AG19" s="90">
        <v>30038.436765734208</v>
      </c>
      <c r="AH19" s="90">
        <v>30186.758427956462</v>
      </c>
      <c r="AI19" s="90">
        <v>28895.469899314168</v>
      </c>
      <c r="AJ19" s="90">
        <v>31197.575295096711</v>
      </c>
      <c r="AK19" s="90">
        <v>30326.538409095057</v>
      </c>
      <c r="AL19" s="90">
        <v>33821.416396494067</v>
      </c>
      <c r="AM19" s="90">
        <v>30502.450385273896</v>
      </c>
      <c r="AN19" s="90">
        <v>30298.845503538396</v>
      </c>
      <c r="AO19" s="90">
        <v>31231.104330311915</v>
      </c>
      <c r="AP19" s="90">
        <v>31849.5997808758</v>
      </c>
      <c r="AQ19" s="90">
        <v>30585.323262780268</v>
      </c>
      <c r="AR19" s="90">
        <v>32190.708488531865</v>
      </c>
      <c r="AS19" s="90">
        <v>30319.262600540031</v>
      </c>
      <c r="AT19" s="90">
        <v>32840.705648147836</v>
      </c>
      <c r="AU19" s="90">
        <v>30067.974870508875</v>
      </c>
      <c r="AV19" s="90">
        <v>30729.535478664446</v>
      </c>
      <c r="AW19" s="90">
        <v>30634.087832076744</v>
      </c>
      <c r="AX19" s="90">
        <v>34241.401818749939</v>
      </c>
      <c r="AY19" s="90">
        <v>31008.90481179424</v>
      </c>
      <c r="AZ19" s="90">
        <v>31689.325048677292</v>
      </c>
      <c r="BA19" s="90">
        <v>31797.103313209111</v>
      </c>
      <c r="BB19" s="90">
        <v>34406.666826319357</v>
      </c>
      <c r="BC19" s="90">
        <v>30290.307212206069</v>
      </c>
      <c r="BD19" s="90">
        <v>31637.209749857277</v>
      </c>
      <c r="BE19" s="90">
        <v>32292.940234270001</v>
      </c>
      <c r="BF19" s="90">
        <v>35509.542803666656</v>
      </c>
      <c r="BG19" s="90">
        <v>32383.563720244932</v>
      </c>
      <c r="BH19" s="90">
        <v>33754.201475142625</v>
      </c>
      <c r="BI19" s="90">
        <v>33131.091279129971</v>
      </c>
      <c r="BJ19" s="90">
        <v>34462.143525482468</v>
      </c>
      <c r="BK19" s="90">
        <v>30089.282428215603</v>
      </c>
      <c r="BL19" s="90">
        <v>23187.731109314023</v>
      </c>
      <c r="BM19" s="90">
        <v>23824.353761348946</v>
      </c>
      <c r="BN19" s="90">
        <v>26594.632701121423</v>
      </c>
      <c r="BO19" s="90">
        <v>27041.913095974785</v>
      </c>
      <c r="BP19" s="90">
        <v>26412.121370407367</v>
      </c>
      <c r="BQ19" s="90">
        <v>30083.477148891248</v>
      </c>
      <c r="BR19" s="90">
        <v>35333.48838472661</v>
      </c>
      <c r="BS19" s="90">
        <v>31642.300586493278</v>
      </c>
      <c r="BT19" s="90">
        <v>32988.542680110106</v>
      </c>
      <c r="BU19" s="90">
        <v>34299.015861375461</v>
      </c>
      <c r="BV19" s="90">
        <v>34753.140872021133</v>
      </c>
      <c r="BW19" s="90">
        <v>32665.64984236813</v>
      </c>
      <c r="BX19" s="90">
        <v>33508.3904028955</v>
      </c>
      <c r="BY19" s="90">
        <v>34444.177959453606</v>
      </c>
      <c r="BZ19" s="90">
        <v>37226.781795282761</v>
      </c>
      <c r="CA19" s="90">
        <v>32589.736612037483</v>
      </c>
      <c r="CB19" s="90">
        <v>33628.264730322531</v>
      </c>
      <c r="CC19" s="90">
        <v>34113.570689705091</v>
      </c>
      <c r="CD19" s="90">
        <v>38051.427967934891</v>
      </c>
      <c r="CE19" s="90">
        <v>33651.523588349482</v>
      </c>
      <c r="CF19" s="90">
        <v>33750.621489448182</v>
      </c>
      <c r="CG19" s="90">
        <v>35035.366612127458</v>
      </c>
      <c r="CH19" s="91">
        <v>38496.496041049002</v>
      </c>
    </row>
    <row r="20" spans="1:86" x14ac:dyDescent="0.2">
      <c r="A20" s="92" t="s">
        <v>70</v>
      </c>
      <c r="B20" s="93" t="s">
        <v>71</v>
      </c>
      <c r="C20" s="94">
        <v>17191.887060067169</v>
      </c>
      <c r="D20" s="94">
        <v>19339.357669821296</v>
      </c>
      <c r="E20" s="94">
        <v>20415.211641254748</v>
      </c>
      <c r="F20" s="94">
        <v>21761.543628856791</v>
      </c>
      <c r="G20" s="94">
        <v>19843.49814535493</v>
      </c>
      <c r="H20" s="94">
        <v>22699.553320554653</v>
      </c>
      <c r="I20" s="94">
        <v>24811.224485159095</v>
      </c>
      <c r="J20" s="94">
        <v>25270.724048931319</v>
      </c>
      <c r="K20" s="94">
        <v>22971.884272095285</v>
      </c>
      <c r="L20" s="94">
        <v>25138.541217427868</v>
      </c>
      <c r="M20" s="94">
        <v>27951.173148834445</v>
      </c>
      <c r="N20" s="94">
        <v>29399.401361642391</v>
      </c>
      <c r="O20" s="94">
        <v>26870.346507026865</v>
      </c>
      <c r="P20" s="94">
        <v>27925.18544291905</v>
      </c>
      <c r="Q20" s="94">
        <v>30610.740344497473</v>
      </c>
      <c r="R20" s="94">
        <v>33249.727705556601</v>
      </c>
      <c r="S20" s="94">
        <v>26942.143289179163</v>
      </c>
      <c r="T20" s="94">
        <v>25672.50388202352</v>
      </c>
      <c r="U20" s="94">
        <v>26739.44957445786</v>
      </c>
      <c r="V20" s="94">
        <v>29040.903254339453</v>
      </c>
      <c r="W20" s="94">
        <v>26872.720960711897</v>
      </c>
      <c r="X20" s="94">
        <v>29019.313498632924</v>
      </c>
      <c r="Y20" s="94">
        <v>30983.89572195119</v>
      </c>
      <c r="Z20" s="94">
        <v>33258.069818703982</v>
      </c>
      <c r="AA20" s="94">
        <v>32036.199017430787</v>
      </c>
      <c r="AB20" s="94">
        <v>35552.833244649286</v>
      </c>
      <c r="AC20" s="94">
        <v>37143.517911382129</v>
      </c>
      <c r="AD20" s="94">
        <v>39703.449826537784</v>
      </c>
      <c r="AE20" s="94">
        <v>36718.513141960546</v>
      </c>
      <c r="AF20" s="94">
        <v>38996.591580058521</v>
      </c>
      <c r="AG20" s="94">
        <v>40953.575942859854</v>
      </c>
      <c r="AH20" s="94">
        <v>41308.319335121087</v>
      </c>
      <c r="AI20" s="94">
        <v>39193.370741084545</v>
      </c>
      <c r="AJ20" s="94">
        <v>42788.536632192903</v>
      </c>
      <c r="AK20" s="94">
        <v>44415.279619751906</v>
      </c>
      <c r="AL20" s="94">
        <v>45045.813006970668</v>
      </c>
      <c r="AM20" s="94">
        <v>42509.442874592256</v>
      </c>
      <c r="AN20" s="94">
        <v>45820.851523752986</v>
      </c>
      <c r="AO20" s="94">
        <v>46418.098746764226</v>
      </c>
      <c r="AP20" s="94">
        <v>49998.606854890517</v>
      </c>
      <c r="AQ20" s="94">
        <v>43154.379398317309</v>
      </c>
      <c r="AR20" s="94">
        <v>44377.698842412814</v>
      </c>
      <c r="AS20" s="94">
        <v>48338.023496774367</v>
      </c>
      <c r="AT20" s="94">
        <v>46879.898262495517</v>
      </c>
      <c r="AU20" s="94">
        <v>42232.183506286172</v>
      </c>
      <c r="AV20" s="94">
        <v>43640.08783220873</v>
      </c>
      <c r="AW20" s="94">
        <v>44202.933332394423</v>
      </c>
      <c r="AX20" s="94">
        <v>46203.795329110682</v>
      </c>
      <c r="AY20" s="94">
        <v>43270.780536015853</v>
      </c>
      <c r="AZ20" s="94">
        <v>44758.818723439741</v>
      </c>
      <c r="BA20" s="94">
        <v>44860.126425924464</v>
      </c>
      <c r="BB20" s="94">
        <v>45185.274314619943</v>
      </c>
      <c r="BC20" s="94">
        <v>42666.011836102713</v>
      </c>
      <c r="BD20" s="94">
        <v>46805.548346124684</v>
      </c>
      <c r="BE20" s="94">
        <v>47121.114145487387</v>
      </c>
      <c r="BF20" s="94">
        <v>51820.325672285231</v>
      </c>
      <c r="BG20" s="94">
        <v>47737.016799103389</v>
      </c>
      <c r="BH20" s="94">
        <v>51081.703306989722</v>
      </c>
      <c r="BI20" s="94">
        <v>52287.789603992627</v>
      </c>
      <c r="BJ20" s="94">
        <v>51143.490289914269</v>
      </c>
      <c r="BK20" s="94">
        <v>45676.654976021367</v>
      </c>
      <c r="BL20" s="94">
        <v>33917.385082627618</v>
      </c>
      <c r="BM20" s="94">
        <v>38904.962037669698</v>
      </c>
      <c r="BN20" s="94">
        <v>43113.997903681309</v>
      </c>
      <c r="BO20" s="94">
        <v>43287.182665644876</v>
      </c>
      <c r="BP20" s="94">
        <v>49494.877392365634</v>
      </c>
      <c r="BQ20" s="94">
        <v>54303.198583424492</v>
      </c>
      <c r="BR20" s="94">
        <v>57724.741358565007</v>
      </c>
      <c r="BS20" s="94">
        <v>60097.175509158333</v>
      </c>
      <c r="BT20" s="94">
        <v>62196.963101726309</v>
      </c>
      <c r="BU20" s="94">
        <v>67259.286210233986</v>
      </c>
      <c r="BV20" s="94">
        <v>64417.575178881401</v>
      </c>
      <c r="BW20" s="94">
        <v>59110.861046570142</v>
      </c>
      <c r="BX20" s="94">
        <v>57214.089903619839</v>
      </c>
      <c r="BY20" s="94">
        <v>54913.957235627793</v>
      </c>
      <c r="BZ20" s="94">
        <v>57259.091814182255</v>
      </c>
      <c r="CA20" s="94">
        <v>52552.516086218151</v>
      </c>
      <c r="CB20" s="94">
        <v>57422.493718800361</v>
      </c>
      <c r="CC20" s="94">
        <v>59552.080953876422</v>
      </c>
      <c r="CD20" s="94">
        <v>61629.909241105059</v>
      </c>
      <c r="CE20" s="94">
        <v>59221.745443098516</v>
      </c>
      <c r="CF20" s="94">
        <v>63408.012629916855</v>
      </c>
      <c r="CG20" s="94">
        <v>65475.264301855757</v>
      </c>
      <c r="CH20" s="95">
        <v>62513.809710332149</v>
      </c>
    </row>
    <row r="21" spans="1:86" x14ac:dyDescent="0.2">
      <c r="A21" s="106" t="s">
        <v>42</v>
      </c>
      <c r="B21" s="107" t="s">
        <v>46</v>
      </c>
      <c r="C21" s="108">
        <v>121117.73043670836</v>
      </c>
      <c r="D21" s="108">
        <v>125559.33523959867</v>
      </c>
      <c r="E21" s="108">
        <v>129223.31345343766</v>
      </c>
      <c r="F21" s="108">
        <v>138952.62087025528</v>
      </c>
      <c r="G21" s="108">
        <v>128839.68114415972</v>
      </c>
      <c r="H21" s="108">
        <v>132242.90768508735</v>
      </c>
      <c r="I21" s="108">
        <v>139114.40832028733</v>
      </c>
      <c r="J21" s="108">
        <v>149238.00285046562</v>
      </c>
      <c r="K21" s="108">
        <v>137488.51677684105</v>
      </c>
      <c r="L21" s="108">
        <v>141316.49758886755</v>
      </c>
      <c r="M21" s="108">
        <v>148649.96660040549</v>
      </c>
      <c r="N21" s="108">
        <v>159002.01903388588</v>
      </c>
      <c r="O21" s="108">
        <v>144602.69329964361</v>
      </c>
      <c r="P21" s="108">
        <v>148078.93371272669</v>
      </c>
      <c r="Q21" s="108">
        <v>153584.53401167839</v>
      </c>
      <c r="R21" s="108">
        <v>159446.83897595131</v>
      </c>
      <c r="S21" s="108">
        <v>144812.49303091533</v>
      </c>
      <c r="T21" s="108">
        <v>149108.60209883322</v>
      </c>
      <c r="U21" s="108">
        <v>154402.16390151772</v>
      </c>
      <c r="V21" s="108">
        <v>164292.74096873379</v>
      </c>
      <c r="W21" s="108">
        <v>150431.72486548449</v>
      </c>
      <c r="X21" s="108">
        <v>156004.20299584756</v>
      </c>
      <c r="Y21" s="108">
        <v>160651.52145567001</v>
      </c>
      <c r="Z21" s="108">
        <v>173063.550682998</v>
      </c>
      <c r="AA21" s="108">
        <v>160659.87523842824</v>
      </c>
      <c r="AB21" s="108">
        <v>166585.3291953743</v>
      </c>
      <c r="AC21" s="108">
        <v>173372.35528380543</v>
      </c>
      <c r="AD21" s="108">
        <v>184010.44028239194</v>
      </c>
      <c r="AE21" s="108">
        <v>170516.60939566811</v>
      </c>
      <c r="AF21" s="108">
        <v>174658.11584143451</v>
      </c>
      <c r="AG21" s="108">
        <v>177268.44995332355</v>
      </c>
      <c r="AH21" s="108">
        <v>188971.82480957385</v>
      </c>
      <c r="AI21" s="108">
        <v>174578.04238681134</v>
      </c>
      <c r="AJ21" s="108">
        <v>184043.02456696131</v>
      </c>
      <c r="AK21" s="108">
        <v>188345.14461420866</v>
      </c>
      <c r="AL21" s="108">
        <v>200972.78843201874</v>
      </c>
      <c r="AM21" s="108">
        <v>186100.21812101797</v>
      </c>
      <c r="AN21" s="108">
        <v>190347.09009192581</v>
      </c>
      <c r="AO21" s="108">
        <v>196605.8725837215</v>
      </c>
      <c r="AP21" s="108">
        <v>208535.81920333469</v>
      </c>
      <c r="AQ21" s="108">
        <v>191363.27537481778</v>
      </c>
      <c r="AR21" s="108">
        <v>196861.40095864589</v>
      </c>
      <c r="AS21" s="108">
        <v>203635.77081291782</v>
      </c>
      <c r="AT21" s="108">
        <v>212831.55285361854</v>
      </c>
      <c r="AU21" s="108">
        <v>195907.74050669238</v>
      </c>
      <c r="AV21" s="108">
        <v>201038.9937938138</v>
      </c>
      <c r="AW21" s="108">
        <v>206805.58283950313</v>
      </c>
      <c r="AX21" s="108">
        <v>217736.68285999072</v>
      </c>
      <c r="AY21" s="108">
        <v>198002.90169194018</v>
      </c>
      <c r="AZ21" s="108">
        <v>203591.84236232319</v>
      </c>
      <c r="BA21" s="108">
        <v>210300.68285233571</v>
      </c>
      <c r="BB21" s="108">
        <v>220760.57309340095</v>
      </c>
      <c r="BC21" s="108">
        <v>201268.44821060167</v>
      </c>
      <c r="BD21" s="108">
        <v>209187.54507868784</v>
      </c>
      <c r="BE21" s="108">
        <v>216359.03079192876</v>
      </c>
      <c r="BF21" s="108">
        <v>227192.97591878168</v>
      </c>
      <c r="BG21" s="108">
        <v>208263.58830459943</v>
      </c>
      <c r="BH21" s="108">
        <v>215620.26717555753</v>
      </c>
      <c r="BI21" s="108">
        <v>223124.45574955601</v>
      </c>
      <c r="BJ21" s="108">
        <v>234215.68877028709</v>
      </c>
      <c r="BK21" s="108">
        <v>208984.3672610599</v>
      </c>
      <c r="BL21" s="108">
        <v>179587.94992052202</v>
      </c>
      <c r="BM21" s="108">
        <v>202864.17066675689</v>
      </c>
      <c r="BN21" s="108">
        <v>226463.51215166118</v>
      </c>
      <c r="BO21" s="108">
        <v>212118.50664005245</v>
      </c>
      <c r="BP21" s="108">
        <v>212672.15151132591</v>
      </c>
      <c r="BQ21" s="108">
        <v>229893.55275838362</v>
      </c>
      <c r="BR21" s="108">
        <v>251558.78909023802</v>
      </c>
      <c r="BS21" s="108">
        <v>229311.00160365616</v>
      </c>
      <c r="BT21" s="108">
        <v>239013.84522825145</v>
      </c>
      <c r="BU21" s="108">
        <v>246908.05578446505</v>
      </c>
      <c r="BV21" s="108">
        <v>257422.09738362732</v>
      </c>
      <c r="BW21" s="108">
        <v>235748.93524516877</v>
      </c>
      <c r="BX21" s="108">
        <v>239983.68203857203</v>
      </c>
      <c r="BY21" s="108">
        <v>245804.90840946528</v>
      </c>
      <c r="BZ21" s="108">
        <v>259305.47430679397</v>
      </c>
      <c r="CA21" s="108">
        <v>236500.45788595171</v>
      </c>
      <c r="CB21" s="108">
        <v>243822.83983365001</v>
      </c>
      <c r="CC21" s="108">
        <v>249751.84956036223</v>
      </c>
      <c r="CD21" s="108">
        <v>265414.85272003605</v>
      </c>
      <c r="CE21" s="108">
        <v>242632.98343363692</v>
      </c>
      <c r="CF21" s="108">
        <v>248985.66441538135</v>
      </c>
      <c r="CG21" s="108">
        <v>258737.57184249646</v>
      </c>
      <c r="CH21" s="109">
        <v>271434.71410917508</v>
      </c>
    </row>
    <row r="22" spans="1:86" x14ac:dyDescent="0.2">
      <c r="A22" s="104"/>
      <c r="B22" s="105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05"/>
    </row>
    <row r="23" spans="1:86" s="25" customFormat="1" ht="12" customHeight="1" x14ac:dyDescent="0.2">
      <c r="A23" s="111" t="s">
        <v>72</v>
      </c>
      <c r="B23" s="47"/>
      <c r="C23" s="47"/>
      <c r="D23" s="47"/>
      <c r="E23" s="47"/>
      <c r="F23" s="112"/>
      <c r="G23" s="48"/>
      <c r="BD23" s="1"/>
      <c r="BE23" s="1"/>
      <c r="BF23" s="1"/>
    </row>
    <row r="24" spans="1:86" s="25" customFormat="1" ht="12" customHeight="1" x14ac:dyDescent="0.2">
      <c r="A24" s="113" t="s">
        <v>48</v>
      </c>
      <c r="B24" s="50"/>
      <c r="C24" s="50"/>
      <c r="D24" s="50"/>
      <c r="E24" s="50"/>
      <c r="G24" s="51"/>
    </row>
    <row r="25" spans="1:86" s="25" customFormat="1" ht="12" customHeight="1" x14ac:dyDescent="0.2">
      <c r="A25" s="113" t="s">
        <v>49</v>
      </c>
      <c r="B25" s="50"/>
      <c r="C25" s="50"/>
      <c r="D25" s="50"/>
      <c r="E25" s="50"/>
      <c r="G25" s="51"/>
    </row>
    <row r="26" spans="1:86" s="25" customFormat="1" ht="12" customHeight="1" x14ac:dyDescent="0.2">
      <c r="A26" s="113" t="s">
        <v>73</v>
      </c>
      <c r="B26" s="50"/>
      <c r="C26" s="50"/>
      <c r="D26" s="50"/>
      <c r="E26" s="50"/>
      <c r="G26" s="51"/>
    </row>
    <row r="27" spans="1:86" s="25" customFormat="1" ht="12" customHeight="1" x14ac:dyDescent="0.2">
      <c r="A27" s="49" t="s">
        <v>74</v>
      </c>
      <c r="B27" s="50"/>
      <c r="C27" s="50"/>
      <c r="D27" s="50"/>
      <c r="E27" s="50"/>
      <c r="G27" s="51"/>
    </row>
    <row r="28" spans="1:86" s="25" customFormat="1" ht="12" customHeight="1" x14ac:dyDescent="0.2">
      <c r="A28" s="52" t="s">
        <v>50</v>
      </c>
      <c r="B28" s="53"/>
      <c r="C28" s="53"/>
      <c r="D28" s="53"/>
      <c r="E28" s="53"/>
      <c r="F28" s="114"/>
      <c r="G28" s="54"/>
    </row>
    <row r="29" spans="1:86" s="2" customFormat="1" x14ac:dyDescent="0.2">
      <c r="BH29" s="25"/>
    </row>
    <row r="30" spans="1:86" s="2" customFormat="1" x14ac:dyDescent="0.2">
      <c r="Q30" s="25"/>
    </row>
    <row r="31" spans="1:86" s="2" customFormat="1" ht="13.5" customHeight="1" x14ac:dyDescent="0.2">
      <c r="A31" s="175" t="s">
        <v>0</v>
      </c>
      <c r="B31" s="175"/>
      <c r="C31" s="175"/>
      <c r="D31" s="175"/>
      <c r="E31" s="175"/>
      <c r="F31" s="175"/>
      <c r="G31" s="175"/>
      <c r="BH31" s="1"/>
    </row>
    <row r="32" spans="1:86" s="2" customFormat="1" ht="13.5" customHeight="1" x14ac:dyDescent="0.2">
      <c r="A32" s="175"/>
      <c r="B32" s="175"/>
      <c r="C32" s="175"/>
      <c r="D32" s="175"/>
      <c r="E32" s="175"/>
      <c r="F32" s="175"/>
      <c r="G32" s="175"/>
    </row>
    <row r="33" spans="1:86" s="2" customFormat="1" ht="14" customHeight="1" x14ac:dyDescent="0.2">
      <c r="A33" s="5" t="s">
        <v>51</v>
      </c>
      <c r="B33" s="6"/>
      <c r="C33" s="6"/>
      <c r="D33" s="6"/>
      <c r="E33" s="6"/>
      <c r="F33" s="6"/>
      <c r="G33" s="7"/>
    </row>
    <row r="34" spans="1:86" s="2" customFormat="1" ht="14" customHeight="1" x14ac:dyDescent="0.2">
      <c r="A34" s="5" t="s">
        <v>52</v>
      </c>
      <c r="B34" s="6"/>
      <c r="C34" s="6"/>
      <c r="D34" s="6"/>
      <c r="E34" s="6"/>
      <c r="F34" s="6"/>
      <c r="G34" s="7"/>
    </row>
    <row r="35" spans="1:86" s="2" customFormat="1" ht="15" customHeight="1" x14ac:dyDescent="0.2">
      <c r="A35" s="9" t="s">
        <v>55</v>
      </c>
      <c r="B35" s="10"/>
      <c r="C35" s="10"/>
      <c r="D35" s="10"/>
      <c r="E35" s="10"/>
      <c r="F35" s="10"/>
      <c r="G35" s="11"/>
    </row>
    <row r="36" spans="1:86" x14ac:dyDescent="0.2">
      <c r="BH36" s="2"/>
    </row>
    <row r="37" spans="1:86" s="13" customFormat="1" ht="40" customHeight="1" x14ac:dyDescent="0.2">
      <c r="A37" s="194" t="s">
        <v>8</v>
      </c>
      <c r="B37" s="192" t="s">
        <v>10</v>
      </c>
      <c r="C37" s="192"/>
      <c r="D37" s="192"/>
      <c r="E37" s="192"/>
      <c r="F37" s="192"/>
      <c r="G37" s="192">
        <v>2006</v>
      </c>
      <c r="H37" s="192"/>
      <c r="I37" s="192"/>
      <c r="J37" s="192"/>
      <c r="K37" s="192">
        <v>2007</v>
      </c>
      <c r="L37" s="192"/>
      <c r="M37" s="192"/>
      <c r="N37" s="192"/>
      <c r="O37" s="192">
        <v>2008</v>
      </c>
      <c r="P37" s="192"/>
      <c r="Q37" s="192"/>
      <c r="R37" s="192"/>
      <c r="S37" s="192">
        <v>2009</v>
      </c>
      <c r="T37" s="192"/>
      <c r="U37" s="192"/>
      <c r="V37" s="192"/>
      <c r="W37" s="192">
        <v>2010</v>
      </c>
      <c r="X37" s="192"/>
      <c r="Y37" s="192"/>
      <c r="Z37" s="192"/>
      <c r="AA37" s="192">
        <v>2011</v>
      </c>
      <c r="AB37" s="192"/>
      <c r="AC37" s="192"/>
      <c r="AD37" s="192"/>
      <c r="AE37" s="192">
        <v>2012</v>
      </c>
      <c r="AF37" s="192"/>
      <c r="AG37" s="192"/>
      <c r="AH37" s="192"/>
      <c r="AI37" s="192">
        <v>2013</v>
      </c>
      <c r="AJ37" s="192"/>
      <c r="AK37" s="192"/>
      <c r="AL37" s="192"/>
      <c r="AM37" s="192">
        <v>2014</v>
      </c>
      <c r="AN37" s="192"/>
      <c r="AO37" s="192"/>
      <c r="AP37" s="192"/>
      <c r="AQ37" s="192">
        <v>2015</v>
      </c>
      <c r="AR37" s="192"/>
      <c r="AS37" s="192"/>
      <c r="AT37" s="192"/>
      <c r="AU37" s="192">
        <v>2016</v>
      </c>
      <c r="AV37" s="192"/>
      <c r="AW37" s="192"/>
      <c r="AX37" s="192"/>
      <c r="AY37" s="192">
        <v>2017</v>
      </c>
      <c r="AZ37" s="192"/>
      <c r="BA37" s="192"/>
      <c r="BB37" s="192"/>
      <c r="BC37" s="192">
        <v>2018</v>
      </c>
      <c r="BD37" s="192"/>
      <c r="BE37" s="192"/>
      <c r="BF37" s="192"/>
      <c r="BG37" s="192">
        <v>2019</v>
      </c>
      <c r="BH37" s="192"/>
      <c r="BI37" s="192"/>
      <c r="BJ37" s="192"/>
      <c r="BK37" s="192">
        <v>2020</v>
      </c>
      <c r="BL37" s="192"/>
      <c r="BM37" s="192"/>
      <c r="BN37" s="192"/>
      <c r="BO37" s="192">
        <v>2021</v>
      </c>
      <c r="BP37" s="192"/>
      <c r="BQ37" s="192"/>
      <c r="BR37" s="192"/>
      <c r="BS37" s="192">
        <v>2022</v>
      </c>
      <c r="BT37" s="192"/>
      <c r="BU37" s="192"/>
      <c r="BV37" s="192"/>
      <c r="BW37" s="192">
        <v>2023</v>
      </c>
      <c r="BX37" s="192"/>
      <c r="BY37" s="192"/>
      <c r="BZ37" s="192"/>
      <c r="CA37" s="192" t="s">
        <v>12</v>
      </c>
      <c r="CB37" s="192"/>
      <c r="CC37" s="192"/>
      <c r="CD37" s="192"/>
      <c r="CE37" s="192" t="s">
        <v>13</v>
      </c>
      <c r="CF37" s="192"/>
      <c r="CG37" s="192"/>
      <c r="CH37" s="197"/>
    </row>
    <row r="38" spans="1:86" s="13" customFormat="1" ht="14" x14ac:dyDescent="0.2">
      <c r="A38" s="195"/>
      <c r="B38" s="196"/>
      <c r="C38" s="84"/>
      <c r="D38" s="84"/>
      <c r="E38" s="84"/>
      <c r="F38" s="84"/>
      <c r="G38" s="84" t="s">
        <v>14</v>
      </c>
      <c r="H38" s="84" t="s">
        <v>15</v>
      </c>
      <c r="I38" s="84" t="s">
        <v>16</v>
      </c>
      <c r="J38" s="84" t="s">
        <v>17</v>
      </c>
      <c r="K38" s="84" t="s">
        <v>14</v>
      </c>
      <c r="L38" s="84" t="s">
        <v>15</v>
      </c>
      <c r="M38" s="84" t="s">
        <v>16</v>
      </c>
      <c r="N38" s="84" t="s">
        <v>17</v>
      </c>
      <c r="O38" s="84" t="s">
        <v>14</v>
      </c>
      <c r="P38" s="84" t="s">
        <v>15</v>
      </c>
      <c r="Q38" s="84" t="s">
        <v>16</v>
      </c>
      <c r="R38" s="84" t="s">
        <v>17</v>
      </c>
      <c r="S38" s="84" t="s">
        <v>14</v>
      </c>
      <c r="T38" s="84" t="s">
        <v>15</v>
      </c>
      <c r="U38" s="84" t="s">
        <v>16</v>
      </c>
      <c r="V38" s="84" t="s">
        <v>17</v>
      </c>
      <c r="W38" s="84" t="s">
        <v>14</v>
      </c>
      <c r="X38" s="84" t="s">
        <v>15</v>
      </c>
      <c r="Y38" s="84" t="s">
        <v>16</v>
      </c>
      <c r="Z38" s="84" t="s">
        <v>17</v>
      </c>
      <c r="AA38" s="84" t="s">
        <v>14</v>
      </c>
      <c r="AB38" s="84" t="s">
        <v>15</v>
      </c>
      <c r="AC38" s="84" t="s">
        <v>16</v>
      </c>
      <c r="AD38" s="84" t="s">
        <v>17</v>
      </c>
      <c r="AE38" s="84" t="s">
        <v>14</v>
      </c>
      <c r="AF38" s="84" t="s">
        <v>15</v>
      </c>
      <c r="AG38" s="84" t="s">
        <v>16</v>
      </c>
      <c r="AH38" s="84" t="s">
        <v>17</v>
      </c>
      <c r="AI38" s="84" t="s">
        <v>14</v>
      </c>
      <c r="AJ38" s="84" t="s">
        <v>15</v>
      </c>
      <c r="AK38" s="84" t="s">
        <v>16</v>
      </c>
      <c r="AL38" s="84" t="s">
        <v>17</v>
      </c>
      <c r="AM38" s="84" t="s">
        <v>14</v>
      </c>
      <c r="AN38" s="84" t="s">
        <v>15</v>
      </c>
      <c r="AO38" s="84" t="s">
        <v>16</v>
      </c>
      <c r="AP38" s="84" t="s">
        <v>17</v>
      </c>
      <c r="AQ38" s="84" t="s">
        <v>14</v>
      </c>
      <c r="AR38" s="84" t="s">
        <v>15</v>
      </c>
      <c r="AS38" s="84" t="s">
        <v>16</v>
      </c>
      <c r="AT38" s="84" t="s">
        <v>17</v>
      </c>
      <c r="AU38" s="84" t="s">
        <v>14</v>
      </c>
      <c r="AV38" s="84" t="s">
        <v>15</v>
      </c>
      <c r="AW38" s="84" t="s">
        <v>16</v>
      </c>
      <c r="AX38" s="84" t="s">
        <v>17</v>
      </c>
      <c r="AY38" s="84" t="s">
        <v>14</v>
      </c>
      <c r="AZ38" s="84" t="s">
        <v>15</v>
      </c>
      <c r="BA38" s="84" t="s">
        <v>16</v>
      </c>
      <c r="BB38" s="84" t="s">
        <v>17</v>
      </c>
      <c r="BC38" s="84" t="s">
        <v>14</v>
      </c>
      <c r="BD38" s="84" t="s">
        <v>15</v>
      </c>
      <c r="BE38" s="84" t="s">
        <v>16</v>
      </c>
      <c r="BF38" s="84" t="s">
        <v>17</v>
      </c>
      <c r="BG38" s="84" t="s">
        <v>14</v>
      </c>
      <c r="BH38" s="84" t="s">
        <v>15</v>
      </c>
      <c r="BI38" s="84" t="s">
        <v>16</v>
      </c>
      <c r="BJ38" s="84" t="s">
        <v>17</v>
      </c>
      <c r="BK38" s="84" t="s">
        <v>14</v>
      </c>
      <c r="BL38" s="84" t="s">
        <v>15</v>
      </c>
      <c r="BM38" s="84" t="s">
        <v>16</v>
      </c>
      <c r="BN38" s="84" t="s">
        <v>17</v>
      </c>
      <c r="BO38" s="84" t="s">
        <v>14</v>
      </c>
      <c r="BP38" s="84" t="s">
        <v>15</v>
      </c>
      <c r="BQ38" s="84" t="s">
        <v>16</v>
      </c>
      <c r="BR38" s="84" t="s">
        <v>17</v>
      </c>
      <c r="BS38" s="84" t="s">
        <v>14</v>
      </c>
      <c r="BT38" s="84" t="s">
        <v>15</v>
      </c>
      <c r="BU38" s="84" t="s">
        <v>16</v>
      </c>
      <c r="BV38" s="84" t="s">
        <v>17</v>
      </c>
      <c r="BW38" s="84" t="s">
        <v>14</v>
      </c>
      <c r="BX38" s="84" t="s">
        <v>15</v>
      </c>
      <c r="BY38" s="84" t="s">
        <v>16</v>
      </c>
      <c r="BZ38" s="84" t="s">
        <v>17</v>
      </c>
      <c r="CA38" s="84" t="s">
        <v>14</v>
      </c>
      <c r="CB38" s="84" t="s">
        <v>15</v>
      </c>
      <c r="CC38" s="84" t="s">
        <v>16</v>
      </c>
      <c r="CD38" s="84" t="s">
        <v>17</v>
      </c>
      <c r="CE38" s="84" t="s">
        <v>14</v>
      </c>
      <c r="CF38" s="84" t="s">
        <v>15</v>
      </c>
      <c r="CG38" s="84" t="s">
        <v>16</v>
      </c>
      <c r="CH38" s="85" t="s">
        <v>17</v>
      </c>
    </row>
    <row r="39" spans="1:86" x14ac:dyDescent="0.2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8"/>
    </row>
    <row r="40" spans="1:86" ht="15" x14ac:dyDescent="0.2">
      <c r="A40" s="89" t="s">
        <v>56</v>
      </c>
      <c r="B40" s="38" t="s">
        <v>57</v>
      </c>
      <c r="C40" s="115"/>
      <c r="D40" s="115"/>
      <c r="E40" s="115"/>
      <c r="F40" s="115"/>
      <c r="G40" s="116">
        <v>8.6775408595623986</v>
      </c>
      <c r="H40" s="116">
        <v>7.3716940067014747</v>
      </c>
      <c r="I40" s="116">
        <v>11.702758447440644</v>
      </c>
      <c r="J40" s="116">
        <v>6.2636149628717561</v>
      </c>
      <c r="K40" s="116">
        <v>9.3643368391292938</v>
      </c>
      <c r="L40" s="116">
        <v>8.6712854255875982</v>
      </c>
      <c r="M40" s="116">
        <v>7.8514546170359836</v>
      </c>
      <c r="N40" s="116">
        <v>7.584029573688909</v>
      </c>
      <c r="O40" s="116">
        <v>6.1875367216804023</v>
      </c>
      <c r="P40" s="116">
        <v>4.890767818080846</v>
      </c>
      <c r="Q40" s="116">
        <v>5.063690111483993</v>
      </c>
      <c r="R40" s="116">
        <v>5.1749115077402763</v>
      </c>
      <c r="S40" s="116">
        <v>1.2128731344573538</v>
      </c>
      <c r="T40" s="116">
        <v>0.9147301501534173</v>
      </c>
      <c r="U40" s="116">
        <v>-0.85155611471707005</v>
      </c>
      <c r="V40" s="116">
        <v>-0.13576498199998355</v>
      </c>
      <c r="W40" s="116">
        <v>3.8745892307235437</v>
      </c>
      <c r="X40" s="116">
        <v>6.1028207111826021</v>
      </c>
      <c r="Y40" s="116">
        <v>6.5085201771778003</v>
      </c>
      <c r="Z40" s="116">
        <v>7.4442247898528962</v>
      </c>
      <c r="AA40" s="116">
        <v>7.8907760599240362</v>
      </c>
      <c r="AB40" s="116">
        <v>8.7748427085811755</v>
      </c>
      <c r="AC40" s="116">
        <v>9.4187743121415792</v>
      </c>
      <c r="AD40" s="116">
        <v>7.6953398124237253</v>
      </c>
      <c r="AE40" s="116">
        <v>7.1815532254851746</v>
      </c>
      <c r="AF40" s="116">
        <v>6.2939429485525693</v>
      </c>
      <c r="AG40" s="116">
        <v>3.1201496864807723</v>
      </c>
      <c r="AH40" s="116">
        <v>3.3652130962025524</v>
      </c>
      <c r="AI40" s="116">
        <v>4.3366121148391983</v>
      </c>
      <c r="AJ40" s="116">
        <v>5.6148173889500441</v>
      </c>
      <c r="AK40" s="116">
        <v>7.6557906209638844</v>
      </c>
      <c r="AL40" s="116">
        <v>5.8620569226928154</v>
      </c>
      <c r="AM40" s="116">
        <v>7.1527731275319013</v>
      </c>
      <c r="AN40" s="116">
        <v>5.2952634206819766</v>
      </c>
      <c r="AO40" s="116">
        <v>4.6074536055020587</v>
      </c>
      <c r="AP40" s="116">
        <v>6.9307034299374948</v>
      </c>
      <c r="AQ40" s="116">
        <v>3.0319681002691965</v>
      </c>
      <c r="AR40" s="116">
        <v>1.6589353816741834</v>
      </c>
      <c r="AS40" s="116">
        <v>4.7436947439334176</v>
      </c>
      <c r="AT40" s="116">
        <v>0.21639007071621563</v>
      </c>
      <c r="AU40" s="116">
        <v>3.3317971658937608</v>
      </c>
      <c r="AV40" s="116">
        <v>0.65954305199673513</v>
      </c>
      <c r="AW40" s="116">
        <v>0.42448113236946483</v>
      </c>
      <c r="AX40" s="116">
        <v>0.67787731966888032</v>
      </c>
      <c r="AY40" s="116">
        <v>1.0657688044494904</v>
      </c>
      <c r="AZ40" s="116">
        <v>1.2762037617741271</v>
      </c>
      <c r="BA40" s="116">
        <v>1.3502680893480346</v>
      </c>
      <c r="BB40" s="116">
        <v>0.81818156242619011</v>
      </c>
      <c r="BC40" s="116">
        <v>1.6057621585466393</v>
      </c>
      <c r="BD40" s="116">
        <v>3.4981781353527168</v>
      </c>
      <c r="BE40" s="116">
        <v>3.491437096508804</v>
      </c>
      <c r="BF40" s="116">
        <v>5.0904311696666156</v>
      </c>
      <c r="BG40" s="116">
        <v>4.5653290082043725</v>
      </c>
      <c r="BH40" s="116">
        <v>3.7438036270554704</v>
      </c>
      <c r="BI40" s="116">
        <v>4.7502785547716968</v>
      </c>
      <c r="BJ40" s="116">
        <v>3.1078134676470768</v>
      </c>
      <c r="BK40" s="116">
        <v>0.53523607979504106</v>
      </c>
      <c r="BL40" s="116">
        <v>-18.019208329656081</v>
      </c>
      <c r="BM40" s="116">
        <v>-9.7400516879173438</v>
      </c>
      <c r="BN40" s="116">
        <v>-2.8951600386114222</v>
      </c>
      <c r="BO40" s="116">
        <v>1.8893354553300981</v>
      </c>
      <c r="BP40" s="116">
        <v>24.026423678348181</v>
      </c>
      <c r="BQ40" s="116">
        <v>16.640283029066708</v>
      </c>
      <c r="BR40" s="116">
        <v>12.689421144725117</v>
      </c>
      <c r="BS40" s="117">
        <v>13.031051367831495</v>
      </c>
      <c r="BT40" s="117">
        <v>13.775075589870454</v>
      </c>
      <c r="BU40" s="117">
        <v>10.233182881937509</v>
      </c>
      <c r="BV40" s="117">
        <v>4.9172934898192437</v>
      </c>
      <c r="BW40" s="117">
        <v>1.5572046718147732</v>
      </c>
      <c r="BX40" s="117">
        <v>-2.0159435740516329</v>
      </c>
      <c r="BY40" s="117">
        <v>-5.4103899688327317</v>
      </c>
      <c r="BZ40" s="117">
        <v>-3.4130482261048485</v>
      </c>
      <c r="CA40" s="117">
        <v>-2.3938448657469849</v>
      </c>
      <c r="CB40" s="117">
        <v>1.4602852457910984</v>
      </c>
      <c r="CC40" s="117">
        <v>3.5585626129884531</v>
      </c>
      <c r="CD40" s="117">
        <v>3.6738236333668084</v>
      </c>
      <c r="CE40" s="117">
        <v>4.4516886136971863</v>
      </c>
      <c r="CF40" s="117">
        <v>3.9769771773238318</v>
      </c>
      <c r="CG40" s="117">
        <v>4.912704982350661</v>
      </c>
      <c r="CH40" s="118">
        <v>2.3259900509948324</v>
      </c>
    </row>
    <row r="41" spans="1:86" x14ac:dyDescent="0.2">
      <c r="A41" s="92" t="s">
        <v>58</v>
      </c>
      <c r="B41" s="93" t="s">
        <v>59</v>
      </c>
      <c r="C41" s="119"/>
      <c r="D41" s="119"/>
      <c r="E41" s="119"/>
      <c r="F41" s="119"/>
      <c r="G41" s="120">
        <v>5.8105417811144804</v>
      </c>
      <c r="H41" s="120">
        <v>5.6064078193276004</v>
      </c>
      <c r="I41" s="120">
        <v>6.6941451770875915</v>
      </c>
      <c r="J41" s="120">
        <v>6.4929621526904668</v>
      </c>
      <c r="K41" s="120">
        <v>5.8435519120429973</v>
      </c>
      <c r="L41" s="120">
        <v>5.4140089425740427</v>
      </c>
      <c r="M41" s="120">
        <v>6.7913540416177653</v>
      </c>
      <c r="N41" s="120">
        <v>6.6825973117750692</v>
      </c>
      <c r="O41" s="120">
        <v>5.4998614619275088</v>
      </c>
      <c r="P41" s="120">
        <v>4.65246695131232</v>
      </c>
      <c r="Q41" s="120">
        <v>3.4371718442934593</v>
      </c>
      <c r="R41" s="120">
        <v>3.4940336291526819</v>
      </c>
      <c r="S41" s="120">
        <v>2.457536291624308</v>
      </c>
      <c r="T41" s="120">
        <v>2.6316505565062016</v>
      </c>
      <c r="U41" s="120">
        <v>2.0068844361854445</v>
      </c>
      <c r="V41" s="120">
        <v>1.8489178354687255</v>
      </c>
      <c r="W41" s="120">
        <v>3.9253036430613122</v>
      </c>
      <c r="X41" s="120">
        <v>4.6867734400095458</v>
      </c>
      <c r="Y41" s="120">
        <v>5.4600735888883207</v>
      </c>
      <c r="Z41" s="120">
        <v>6.0389185220639234</v>
      </c>
      <c r="AA41" s="120">
        <v>4.6252328309760742</v>
      </c>
      <c r="AB41" s="120">
        <v>6.4324033471835378</v>
      </c>
      <c r="AC41" s="120">
        <v>5.5016812327242945</v>
      </c>
      <c r="AD41" s="120">
        <v>6.0200602757293495</v>
      </c>
      <c r="AE41" s="120">
        <v>6.9143011359900299</v>
      </c>
      <c r="AF41" s="120">
        <v>5.1867686050849073</v>
      </c>
      <c r="AG41" s="120">
        <v>5.2781169489835236</v>
      </c>
      <c r="AH41" s="120">
        <v>4.8006626334675957</v>
      </c>
      <c r="AI41" s="120">
        <v>4.823921353841115</v>
      </c>
      <c r="AJ41" s="120">
        <v>5.926905575356443</v>
      </c>
      <c r="AK41" s="120">
        <v>5.1548184537411004</v>
      </c>
      <c r="AL41" s="120">
        <v>5.4751216684023802</v>
      </c>
      <c r="AM41" s="120">
        <v>4.7964144560403099</v>
      </c>
      <c r="AN41" s="120">
        <v>3.9632735262834728</v>
      </c>
      <c r="AO41" s="120">
        <v>4.1156370466344185</v>
      </c>
      <c r="AP41" s="120">
        <v>4.427661361131527</v>
      </c>
      <c r="AQ41" s="120">
        <v>4.0320129265290632</v>
      </c>
      <c r="AR41" s="120">
        <v>4.3600065318775307</v>
      </c>
      <c r="AS41" s="120">
        <v>5.3908536536613667</v>
      </c>
      <c r="AT41" s="120">
        <v>0.40334731238806398</v>
      </c>
      <c r="AU41" s="120">
        <v>1.8254010611540537</v>
      </c>
      <c r="AV41" s="120">
        <v>1.4746187890466018</v>
      </c>
      <c r="AW41" s="120">
        <v>0.12815895380340692</v>
      </c>
      <c r="AX41" s="120">
        <v>2.9343608544936757</v>
      </c>
      <c r="AY41" s="120">
        <v>1.2025870236293486</v>
      </c>
      <c r="AZ41" s="120">
        <v>2.7563217776614977</v>
      </c>
      <c r="BA41" s="120">
        <v>2.990747274811369</v>
      </c>
      <c r="BB41" s="120">
        <v>2.323416983029162</v>
      </c>
      <c r="BC41" s="120">
        <v>3.6132581521031852</v>
      </c>
      <c r="BD41" s="120">
        <v>4.2133196114056943</v>
      </c>
      <c r="BE41" s="120">
        <v>3.992220093540098</v>
      </c>
      <c r="BF41" s="120">
        <v>4.0359103471402307</v>
      </c>
      <c r="BG41" s="120">
        <v>3.3346405978682157</v>
      </c>
      <c r="BH41" s="120">
        <v>4.1867974868748092</v>
      </c>
      <c r="BI41" s="120">
        <v>4.5533104828892021</v>
      </c>
      <c r="BJ41" s="120">
        <v>4.9373234390705392</v>
      </c>
      <c r="BK41" s="120">
        <v>3.8874675900414104</v>
      </c>
      <c r="BL41" s="120">
        <v>-14.264735303409523</v>
      </c>
      <c r="BM41" s="120">
        <v>-7.4722419513773701</v>
      </c>
      <c r="BN41" s="120">
        <v>0.72790295920582082</v>
      </c>
      <c r="BO41" s="120">
        <v>3.3002797867935101</v>
      </c>
      <c r="BP41" s="120">
        <v>22.00857855266743</v>
      </c>
      <c r="BQ41" s="120">
        <v>18.606023925166951</v>
      </c>
      <c r="BR41" s="120">
        <v>12.546738447419131</v>
      </c>
      <c r="BS41" s="120">
        <v>11.729371001442885</v>
      </c>
      <c r="BT41" s="120">
        <v>15.403325074917433</v>
      </c>
      <c r="BU41" s="120">
        <v>8.6798397458729397</v>
      </c>
      <c r="BV41" s="120">
        <v>2.1982745796206302</v>
      </c>
      <c r="BW41" s="120">
        <v>2.0813940446186621</v>
      </c>
      <c r="BX41" s="120">
        <v>0.50118079986873454</v>
      </c>
      <c r="BY41" s="120">
        <v>0.20563698891847082</v>
      </c>
      <c r="BZ41" s="120">
        <v>9.7223963963017468E-2</v>
      </c>
      <c r="CA41" s="120">
        <v>-8.6513542830459755E-3</v>
      </c>
      <c r="CB41" s="120">
        <v>1.3804443850337691</v>
      </c>
      <c r="CC41" s="120">
        <v>0.69991288971316123</v>
      </c>
      <c r="CD41" s="120">
        <v>3.4802978980651886</v>
      </c>
      <c r="CE41" s="120">
        <v>3.6833210579925435</v>
      </c>
      <c r="CF41" s="120">
        <v>3.7609008993617579</v>
      </c>
      <c r="CG41" s="120">
        <v>5.6921240653240659</v>
      </c>
      <c r="CH41" s="121">
        <v>3.7927323657561658</v>
      </c>
    </row>
    <row r="42" spans="1:86" ht="15" x14ac:dyDescent="0.2">
      <c r="A42" s="96" t="s">
        <v>60</v>
      </c>
      <c r="B42" s="97" t="s">
        <v>61</v>
      </c>
      <c r="C42" s="122"/>
      <c r="D42" s="122"/>
      <c r="E42" s="122"/>
      <c r="F42" s="122"/>
      <c r="G42" s="123">
        <v>6.0429622248906725</v>
      </c>
      <c r="H42" s="123">
        <v>6.3258300512827788</v>
      </c>
      <c r="I42" s="123">
        <v>6.9767468772796235</v>
      </c>
      <c r="J42" s="123">
        <v>6.1348095966859972</v>
      </c>
      <c r="K42" s="123">
        <v>6.8079463448576689</v>
      </c>
      <c r="L42" s="123">
        <v>5.9840523957931566</v>
      </c>
      <c r="M42" s="123">
        <v>6.9032318586982058</v>
      </c>
      <c r="N42" s="123">
        <v>6.5197502522748749</v>
      </c>
      <c r="O42" s="123">
        <v>5.4595443244751323</v>
      </c>
      <c r="P42" s="123">
        <v>3.8624562803058637</v>
      </c>
      <c r="Q42" s="123">
        <v>3.5697439526472436</v>
      </c>
      <c r="R42" s="123">
        <v>3.6805973703848025</v>
      </c>
      <c r="S42" s="123">
        <v>2.0787143764832337</v>
      </c>
      <c r="T42" s="123">
        <v>2.4604457889341376</v>
      </c>
      <c r="U42" s="123">
        <v>1.2169061335936817</v>
      </c>
      <c r="V42" s="123">
        <v>1.164146016333035</v>
      </c>
      <c r="W42" s="123">
        <v>3.7719706768671131</v>
      </c>
      <c r="X42" s="123">
        <v>4.5531590099556354</v>
      </c>
      <c r="Y42" s="123">
        <v>5.7241495003912917</v>
      </c>
      <c r="Z42" s="123">
        <v>6.0213853320343844</v>
      </c>
      <c r="AA42" s="123">
        <v>4.5826248671163086</v>
      </c>
      <c r="AB42" s="123">
        <v>6.3157789879547721</v>
      </c>
      <c r="AC42" s="123">
        <v>5.2392775232173818</v>
      </c>
      <c r="AD42" s="123">
        <v>5.8126162158880419</v>
      </c>
      <c r="AE42" s="123">
        <v>7.3352710203532041</v>
      </c>
      <c r="AF42" s="123">
        <v>5.3434568957058559</v>
      </c>
      <c r="AG42" s="123">
        <v>5.5666066947165973</v>
      </c>
      <c r="AH42" s="123">
        <v>4.4941108548935489</v>
      </c>
      <c r="AI42" s="123">
        <v>4.5212009872589931</v>
      </c>
      <c r="AJ42" s="123">
        <v>5.3741606530504527</v>
      </c>
      <c r="AK42" s="123">
        <v>4.3011562687927096</v>
      </c>
      <c r="AL42" s="123">
        <v>4.3464982423075469</v>
      </c>
      <c r="AM42" s="123">
        <v>4.1251975495308955</v>
      </c>
      <c r="AN42" s="123">
        <v>3.7412484453804211</v>
      </c>
      <c r="AO42" s="123">
        <v>4.1930163797899667</v>
      </c>
      <c r="AP42" s="123">
        <v>4.8737058069461057</v>
      </c>
      <c r="AQ42" s="123">
        <v>3.5759889913269802</v>
      </c>
      <c r="AR42" s="123">
        <v>3.1950390480897113</v>
      </c>
      <c r="AS42" s="123">
        <v>3.8717888231347217</v>
      </c>
      <c r="AT42" s="123">
        <v>1.8597056595475152</v>
      </c>
      <c r="AU42" s="123">
        <v>2.5616367398738475</v>
      </c>
      <c r="AV42" s="123">
        <v>1.2701816534093808</v>
      </c>
      <c r="AW42" s="123">
        <v>0.77512191184776214</v>
      </c>
      <c r="AX42" s="123">
        <v>1.7550039127283128</v>
      </c>
      <c r="AY42" s="123">
        <v>0.89320573263039194</v>
      </c>
      <c r="AZ42" s="123">
        <v>2.6236853683504648</v>
      </c>
      <c r="BA42" s="123">
        <v>2.7419919139096862</v>
      </c>
      <c r="BB42" s="123">
        <v>1.9405981091280751</v>
      </c>
      <c r="BC42" s="123">
        <v>3.3622678737503975</v>
      </c>
      <c r="BD42" s="123">
        <v>3.4916275917433239</v>
      </c>
      <c r="BE42" s="123">
        <v>3.1919710747346386</v>
      </c>
      <c r="BF42" s="123">
        <v>2.9324829697087864</v>
      </c>
      <c r="BG42" s="123">
        <v>2.9213403565070166</v>
      </c>
      <c r="BH42" s="123">
        <v>3.627710104482901</v>
      </c>
      <c r="BI42" s="123">
        <v>4.3274941142361598</v>
      </c>
      <c r="BJ42" s="123">
        <v>5.2647815758675165</v>
      </c>
      <c r="BK42" s="123">
        <v>4.8499953572319328</v>
      </c>
      <c r="BL42" s="123">
        <v>-17.098680400428577</v>
      </c>
      <c r="BM42" s="123">
        <v>-8.7133250905500006</v>
      </c>
      <c r="BN42" s="123">
        <v>0.78371181665445988</v>
      </c>
      <c r="BO42" s="123">
        <v>1.858155294397875</v>
      </c>
      <c r="BP42" s="123">
        <v>25.441809688010466</v>
      </c>
      <c r="BQ42" s="123">
        <v>19.838093185113465</v>
      </c>
      <c r="BR42" s="123">
        <v>14.125436924796574</v>
      </c>
      <c r="BS42" s="123">
        <v>12.264727858975007</v>
      </c>
      <c r="BT42" s="123">
        <v>16.611147658152589</v>
      </c>
      <c r="BU42" s="123">
        <v>10.91487925714047</v>
      </c>
      <c r="BV42" s="123">
        <v>4.7103211772573417</v>
      </c>
      <c r="BW42" s="123">
        <v>2.9277544964380695</v>
      </c>
      <c r="BX42" s="123">
        <v>0.75358654878093034</v>
      </c>
      <c r="BY42" s="123">
        <v>-0.46259679506853502</v>
      </c>
      <c r="BZ42" s="123">
        <v>-0.89349399688455833</v>
      </c>
      <c r="CA42" s="123">
        <v>0.4251518383750863</v>
      </c>
      <c r="CB42" s="123">
        <v>1.1124482662302313</v>
      </c>
      <c r="CC42" s="123">
        <v>1.9382610338798116</v>
      </c>
      <c r="CD42" s="123">
        <v>2.9475149551896607</v>
      </c>
      <c r="CE42" s="123">
        <v>3.7790175695662214</v>
      </c>
      <c r="CF42" s="123">
        <v>3.6285801401263313</v>
      </c>
      <c r="CG42" s="123">
        <v>4.075889260506699</v>
      </c>
      <c r="CH42" s="124">
        <v>3.0913006111477728</v>
      </c>
    </row>
    <row r="43" spans="1:86" x14ac:dyDescent="0.2">
      <c r="A43" s="100" t="s">
        <v>62</v>
      </c>
      <c r="B43" s="101" t="s">
        <v>63</v>
      </c>
      <c r="C43" s="125"/>
      <c r="D43" s="125"/>
      <c r="E43" s="125"/>
      <c r="F43" s="125"/>
      <c r="G43" s="126">
        <v>4.5449980531530514</v>
      </c>
      <c r="H43" s="126">
        <v>1.7314849192257498</v>
      </c>
      <c r="I43" s="126">
        <v>5.1774011292561823</v>
      </c>
      <c r="J43" s="126">
        <v>7.8705366431674975</v>
      </c>
      <c r="K43" s="126">
        <v>0.72734297034153883</v>
      </c>
      <c r="L43" s="126">
        <v>2.4099262599711579</v>
      </c>
      <c r="M43" s="126">
        <v>6.3138414710181934</v>
      </c>
      <c r="N43" s="126">
        <v>7.0289130924477945</v>
      </c>
      <c r="O43" s="126">
        <v>5.9141223617262426</v>
      </c>
      <c r="P43" s="126">
        <v>9.3143882861737239</v>
      </c>
      <c r="Q43" s="126">
        <v>2.8302539158211744</v>
      </c>
      <c r="R43" s="126">
        <v>2.5419834795426368</v>
      </c>
      <c r="S43" s="126">
        <v>4.1770545330469702</v>
      </c>
      <c r="T43" s="126">
        <v>3.2559288391996546</v>
      </c>
      <c r="U43" s="126">
        <v>6.086995558497506</v>
      </c>
      <c r="V43" s="126">
        <v>5.1836957867428453</v>
      </c>
      <c r="W43" s="126">
        <v>4.9962104121317452</v>
      </c>
      <c r="X43" s="126">
        <v>5.5664961904314083</v>
      </c>
      <c r="Y43" s="126">
        <v>4.1716395267862509</v>
      </c>
      <c r="Z43" s="126">
        <v>5.8276361099440521</v>
      </c>
      <c r="AA43" s="126">
        <v>4.9194479662664179</v>
      </c>
      <c r="AB43" s="126">
        <v>7.1042798287484885</v>
      </c>
      <c r="AC43" s="126">
        <v>6.9312482274998644</v>
      </c>
      <c r="AD43" s="126">
        <v>6.6928158745030828</v>
      </c>
      <c r="AE43" s="126">
        <v>4.2281990922705006</v>
      </c>
      <c r="AF43" s="126">
        <v>4.1227130783291841</v>
      </c>
      <c r="AG43" s="126">
        <v>3.5791366438855192</v>
      </c>
      <c r="AH43" s="126">
        <v>6.3201232892504891</v>
      </c>
      <c r="AI43" s="126">
        <v>6.6135354192234104</v>
      </c>
      <c r="AJ43" s="126">
        <v>8.9881564089252919</v>
      </c>
      <c r="AK43" s="126">
        <v>9.7915403073463096</v>
      </c>
      <c r="AL43" s="126">
        <v>9.5314899143966016</v>
      </c>
      <c r="AM43" s="126">
        <v>8.7493074608117922</v>
      </c>
      <c r="AN43" s="126">
        <v>5.2178940501196109</v>
      </c>
      <c r="AO43" s="126">
        <v>3.7764346124461241</v>
      </c>
      <c r="AP43" s="126">
        <v>2.7524027318009985</v>
      </c>
      <c r="AQ43" s="126">
        <v>6.5179793769572143</v>
      </c>
      <c r="AR43" s="126">
        <v>10.44782239441389</v>
      </c>
      <c r="AS43" s="126">
        <v>13.195697087619521</v>
      </c>
      <c r="AT43" s="126">
        <v>-4.6724022521888458</v>
      </c>
      <c r="AU43" s="126">
        <v>-2.1401538502000506</v>
      </c>
      <c r="AV43" s="126">
        <v>2.4883696541795075</v>
      </c>
      <c r="AW43" s="126">
        <v>-2.9688841091473392</v>
      </c>
      <c r="AX43" s="126">
        <v>7.4013402747717123</v>
      </c>
      <c r="AY43" s="126">
        <v>2.4456562121223868</v>
      </c>
      <c r="AZ43" s="126">
        <v>3.2685285642419757</v>
      </c>
      <c r="BA43" s="126">
        <v>4.0675070694076823</v>
      </c>
      <c r="BB43" s="126">
        <v>4.2921604735331869</v>
      </c>
      <c r="BC43" s="126">
        <v>5.3249624592492495</v>
      </c>
      <c r="BD43" s="126">
        <v>7.8705464666304152</v>
      </c>
      <c r="BE43" s="126">
        <v>8.0809275225762747</v>
      </c>
      <c r="BF43" s="126">
        <v>7.6592537420510922</v>
      </c>
      <c r="BG43" s="126">
        <v>5.6659911986773608</v>
      </c>
      <c r="BH43" s="126">
        <v>6.8411304309876613</v>
      </c>
      <c r="BI43" s="126">
        <v>5.6377564984068584</v>
      </c>
      <c r="BJ43" s="126">
        <v>3.7790378178814024</v>
      </c>
      <c r="BK43" s="126">
        <v>-1.2135190860690841</v>
      </c>
      <c r="BL43" s="126">
        <v>-1.3098861307683904</v>
      </c>
      <c r="BM43" s="126">
        <v>-1.6643936103543524</v>
      </c>
      <c r="BN43" s="126">
        <v>0.48468288245713609</v>
      </c>
      <c r="BO43" s="126">
        <v>11.748620836815491</v>
      </c>
      <c r="BP43" s="126">
        <v>8.8946471458825442</v>
      </c>
      <c r="BQ43" s="126">
        <v>13.368583431343083</v>
      </c>
      <c r="BR43" s="126">
        <v>7.0013736084895157</v>
      </c>
      <c r="BS43" s="126">
        <v>7.9339252342127224</v>
      </c>
      <c r="BT43" s="126">
        <v>9.7729890743652845</v>
      </c>
      <c r="BU43" s="126">
        <v>-2.2095425982538472</v>
      </c>
      <c r="BV43" s="126">
        <v>-6.7164144817472078</v>
      </c>
      <c r="BW43" s="126">
        <v>-3.5985365195157328</v>
      </c>
      <c r="BX43" s="126">
        <v>-0.72161962720551287</v>
      </c>
      <c r="BY43" s="126">
        <v>3.6004635993295011</v>
      </c>
      <c r="BZ43" s="126">
        <v>5.2698347854897065</v>
      </c>
      <c r="CA43" s="126">
        <v>-2.0166613022719133</v>
      </c>
      <c r="CB43" s="126">
        <v>2.7621899126928753</v>
      </c>
      <c r="CC43" s="126">
        <v>-5.7027808790049619</v>
      </c>
      <c r="CD43" s="126">
        <v>5.1257129850454248</v>
      </c>
      <c r="CE43" s="126">
        <v>3.7737859009983339</v>
      </c>
      <c r="CF43" s="126">
        <v>4.3461897637215685</v>
      </c>
      <c r="CG43" s="126">
        <v>15.03076662428056</v>
      </c>
      <c r="CH43" s="127">
        <v>5.9480188142642305</v>
      </c>
    </row>
    <row r="44" spans="1:86" s="38" customFormat="1" x14ac:dyDescent="0.2">
      <c r="A44" s="104" t="s">
        <v>64</v>
      </c>
      <c r="B44" s="105" t="s">
        <v>65</v>
      </c>
      <c r="C44" s="110"/>
      <c r="D44" s="110"/>
      <c r="E44" s="110"/>
      <c r="F44" s="110"/>
      <c r="G44" s="117">
        <v>19.907411450577015</v>
      </c>
      <c r="H44" s="117">
        <v>13.89080279511515</v>
      </c>
      <c r="I44" s="117">
        <v>29.587626086754284</v>
      </c>
      <c r="J44" s="117">
        <v>5.4651219992577325</v>
      </c>
      <c r="K44" s="117">
        <v>21.78896082446559</v>
      </c>
      <c r="L44" s="117">
        <v>19.779239211123055</v>
      </c>
      <c r="M44" s="117">
        <v>11.381899840399456</v>
      </c>
      <c r="N44" s="117">
        <v>10.857387263844103</v>
      </c>
      <c r="O44" s="117">
        <v>8.7137963777181255</v>
      </c>
      <c r="P44" s="117">
        <v>6.08407054482538</v>
      </c>
      <c r="Q44" s="117">
        <v>10.628437277219675</v>
      </c>
      <c r="R44" s="117">
        <v>11.338558822723414</v>
      </c>
      <c r="S44" s="117">
        <v>-2.6238016024692854</v>
      </c>
      <c r="T44" s="117">
        <v>-4.3992111552162356</v>
      </c>
      <c r="U44" s="117">
        <v>-8.9217717777491714</v>
      </c>
      <c r="V44" s="117">
        <v>-9.1122132571548917</v>
      </c>
      <c r="W44" s="117">
        <v>3.6104793992338386</v>
      </c>
      <c r="X44" s="117">
        <v>10.780210103791205</v>
      </c>
      <c r="Y44" s="117">
        <v>9.804114312472791</v>
      </c>
      <c r="Z44" s="117">
        <v>14.174095215770038</v>
      </c>
      <c r="AA44" s="117">
        <v>19.501491195810999</v>
      </c>
      <c r="AB44" s="117">
        <v>17.015891767763989</v>
      </c>
      <c r="AC44" s="117">
        <v>22.59388716095701</v>
      </c>
      <c r="AD44" s="117">
        <v>14.694079595404276</v>
      </c>
      <c r="AE44" s="117">
        <v>8.2135443255526326</v>
      </c>
      <c r="AF44" s="117">
        <v>9.9344168325517899</v>
      </c>
      <c r="AG44" s="117">
        <v>-2.7285613754455511</v>
      </c>
      <c r="AH44" s="117">
        <v>-4.3474164824901038</v>
      </c>
      <c r="AI44" s="117">
        <v>3.0397050084558117</v>
      </c>
      <c r="AJ44" s="117">
        <v>5.071948277160061</v>
      </c>
      <c r="AK44" s="117">
        <v>16.104904822177616</v>
      </c>
      <c r="AL44" s="117">
        <v>6.8470160895274432</v>
      </c>
      <c r="AM44" s="117">
        <v>15.240720773411766</v>
      </c>
      <c r="AN44" s="117">
        <v>9.7470961065655217</v>
      </c>
      <c r="AO44" s="117">
        <v>6.3745591519493274</v>
      </c>
      <c r="AP44" s="117">
        <v>18.911256197073882</v>
      </c>
      <c r="AQ44" s="117">
        <v>1.7803084963958327E-2</v>
      </c>
      <c r="AR44" s="117">
        <v>-6.4921649791055387</v>
      </c>
      <c r="AS44" s="117">
        <v>2.9650432969094993</v>
      </c>
      <c r="AT44" s="117">
        <v>-0.53116022535513707</v>
      </c>
      <c r="AU44" s="117">
        <v>8.5121290289595919</v>
      </c>
      <c r="AV44" s="117">
        <v>-1.9335127140446957</v>
      </c>
      <c r="AW44" s="117">
        <v>1.3408833420458564</v>
      </c>
      <c r="AX44" s="117">
        <v>-9.3058813562541474</v>
      </c>
      <c r="AY44" s="117">
        <v>0.7106181445000459</v>
      </c>
      <c r="AZ44" s="117">
        <v>-3.5800977121869408</v>
      </c>
      <c r="BA44" s="117">
        <v>-3.713986051491375</v>
      </c>
      <c r="BB44" s="117">
        <v>-7.1962083478442622</v>
      </c>
      <c r="BC44" s="117">
        <v>-4.8673684642935484</v>
      </c>
      <c r="BD44" s="117">
        <v>0.99703677239257615</v>
      </c>
      <c r="BE44" s="117">
        <v>1.8869011830659161</v>
      </c>
      <c r="BF44" s="117">
        <v>10.599391626494324</v>
      </c>
      <c r="BG44" s="117">
        <v>8.940020560456972</v>
      </c>
      <c r="BH44" s="117">
        <v>2.0900673892484889</v>
      </c>
      <c r="BI44" s="117">
        <v>5.4032565762773004</v>
      </c>
      <c r="BJ44" s="117">
        <v>-6.5018697962910892</v>
      </c>
      <c r="BK44" s="117">
        <v>-10.84365354363608</v>
      </c>
      <c r="BL44" s="117">
        <v>-32.056872829806338</v>
      </c>
      <c r="BM44" s="117">
        <v>-17.589857111939494</v>
      </c>
      <c r="BN44" s="117">
        <v>-23.826089185917823</v>
      </c>
      <c r="BO44" s="117">
        <v>-3.9821698373121706</v>
      </c>
      <c r="BP44" s="117">
        <v>33.120978555092734</v>
      </c>
      <c r="BQ44" s="117">
        <v>8.6853888203952465</v>
      </c>
      <c r="BR44" s="117">
        <v>15.926464417199242</v>
      </c>
      <c r="BS44" s="117">
        <v>18.330376927221465</v>
      </c>
      <c r="BT44" s="117">
        <v>7.0167069608753678</v>
      </c>
      <c r="BU44" s="117">
        <v>16.520269762507709</v>
      </c>
      <c r="BV44" s="117">
        <v>24.687228444182054</v>
      </c>
      <c r="BW44" s="117">
        <v>-0.40017525248828179</v>
      </c>
      <c r="BX44" s="117">
        <v>-13.381294920947056</v>
      </c>
      <c r="BY44" s="117">
        <v>-26.611660445831106</v>
      </c>
      <c r="BZ44" s="117">
        <v>-24.689187354385666</v>
      </c>
      <c r="CA44" s="117">
        <v>-11.681392167171538</v>
      </c>
      <c r="CB44" s="117">
        <v>1.8985483101032798</v>
      </c>
      <c r="CC44" s="117">
        <v>18.535906265956697</v>
      </c>
      <c r="CD44" s="117">
        <v>4.7375497734670802</v>
      </c>
      <c r="CE44" s="117">
        <v>7.8995244945611773</v>
      </c>
      <c r="CF44" s="117">
        <v>5.1116156017453847</v>
      </c>
      <c r="CG44" s="117">
        <v>1.4315332560801437</v>
      </c>
      <c r="CH44" s="118">
        <v>-9.3005386126274487</v>
      </c>
    </row>
    <row r="45" spans="1:86" x14ac:dyDescent="0.2">
      <c r="A45" s="100" t="s">
        <v>66</v>
      </c>
      <c r="B45" s="101" t="s">
        <v>67</v>
      </c>
      <c r="C45" s="125"/>
      <c r="D45" s="125"/>
      <c r="E45" s="125"/>
      <c r="F45" s="125"/>
      <c r="G45" s="126">
        <v>11.638125618368505</v>
      </c>
      <c r="H45" s="126">
        <v>14.748163411805066</v>
      </c>
      <c r="I45" s="126">
        <v>26.140940675999417</v>
      </c>
      <c r="J45" s="126">
        <v>21.023287396430689</v>
      </c>
      <c r="K45" s="126">
        <v>28.932454974341084</v>
      </c>
      <c r="L45" s="126">
        <v>28.433558537353946</v>
      </c>
      <c r="M45" s="126">
        <v>19.05720204173042</v>
      </c>
      <c r="N45" s="126">
        <v>8.8443674034628827</v>
      </c>
      <c r="O45" s="126">
        <v>-9.6931927231334214</v>
      </c>
      <c r="P45" s="126">
        <v>2.7818275785222824</v>
      </c>
      <c r="Q45" s="126">
        <v>-2.6007473688612635</v>
      </c>
      <c r="R45" s="126">
        <v>-2.1251408837737955</v>
      </c>
      <c r="S45" s="126">
        <v>7.0507811858745413</v>
      </c>
      <c r="T45" s="126">
        <v>2.1594282681381713</v>
      </c>
      <c r="U45" s="126">
        <v>6.4961246008743245</v>
      </c>
      <c r="V45" s="126">
        <v>2.8864962667894076</v>
      </c>
      <c r="W45" s="126">
        <v>-0.49944204980536711</v>
      </c>
      <c r="X45" s="126">
        <v>10.047557062662932</v>
      </c>
      <c r="Y45" s="126">
        <v>4.2571186121575835</v>
      </c>
      <c r="Z45" s="126">
        <v>12.593785447250184</v>
      </c>
      <c r="AA45" s="126">
        <v>18.105952620820204</v>
      </c>
      <c r="AB45" s="126">
        <v>8.6809063824718038</v>
      </c>
      <c r="AC45" s="126">
        <v>15.50487008113879</v>
      </c>
      <c r="AD45" s="126">
        <v>8.7058351235553886</v>
      </c>
      <c r="AE45" s="126">
        <v>4.6177297161068509</v>
      </c>
      <c r="AF45" s="126">
        <v>7.8145049243805147</v>
      </c>
      <c r="AG45" s="126">
        <v>2.008576801256595</v>
      </c>
      <c r="AH45" s="126">
        <v>-0.15927808131344534</v>
      </c>
      <c r="AI45" s="126">
        <v>9.7302992893339564</v>
      </c>
      <c r="AJ45" s="126">
        <v>6.6627221668177299</v>
      </c>
      <c r="AK45" s="126">
        <v>4.1251762597847659</v>
      </c>
      <c r="AL45" s="126">
        <v>13.145746045467249</v>
      </c>
      <c r="AM45" s="126">
        <v>11.963956061316622</v>
      </c>
      <c r="AN45" s="126">
        <v>8.0234663546483631</v>
      </c>
      <c r="AO45" s="126">
        <v>14.146227780498123</v>
      </c>
      <c r="AP45" s="126">
        <v>4.1921325849642699</v>
      </c>
      <c r="AQ45" s="126">
        <v>4.8640858377319915</v>
      </c>
      <c r="AR45" s="126">
        <v>6.2512073485912651</v>
      </c>
      <c r="AS45" s="126">
        <v>3.7062873486573693</v>
      </c>
      <c r="AT45" s="126">
        <v>-2.6191869001412726</v>
      </c>
      <c r="AU45" s="126">
        <v>-5.6511658056922727</v>
      </c>
      <c r="AV45" s="126">
        <v>-2.9672425596459391</v>
      </c>
      <c r="AW45" s="126">
        <v>-6.5893471543642619</v>
      </c>
      <c r="AX45" s="126">
        <v>3.0045974252696368</v>
      </c>
      <c r="AY45" s="126">
        <v>4.9865981598262721</v>
      </c>
      <c r="AZ45" s="126">
        <v>-1.3374667004521825</v>
      </c>
      <c r="BA45" s="126">
        <v>5.1796622441785161</v>
      </c>
      <c r="BB45" s="126">
        <v>-0.47643571831711995</v>
      </c>
      <c r="BC45" s="126">
        <v>-2.6650221081260668</v>
      </c>
      <c r="BD45" s="126">
        <v>4.0270184227830299</v>
      </c>
      <c r="BE45" s="126">
        <v>1.1585357225756923</v>
      </c>
      <c r="BF45" s="126">
        <v>1.1240538558657391</v>
      </c>
      <c r="BG45" s="126">
        <v>13.219209300904396</v>
      </c>
      <c r="BH45" s="126">
        <v>0.99928147410149393</v>
      </c>
      <c r="BI45" s="126">
        <v>1.5197704976473148</v>
      </c>
      <c r="BJ45" s="126">
        <v>-4.2518817878069086</v>
      </c>
      <c r="BK45" s="126">
        <v>-10.98230439836415</v>
      </c>
      <c r="BL45" s="126">
        <v>-43.312101624836075</v>
      </c>
      <c r="BM45" s="126">
        <v>-25.568458777459497</v>
      </c>
      <c r="BN45" s="126">
        <v>-13.658449378785704</v>
      </c>
      <c r="BO45" s="126">
        <v>5.0135957215592839</v>
      </c>
      <c r="BP45" s="126">
        <v>42.01222633417504</v>
      </c>
      <c r="BQ45" s="126">
        <v>14.384760885298363</v>
      </c>
      <c r="BR45" s="126">
        <v>13.086669235068584</v>
      </c>
      <c r="BS45" s="126">
        <v>13.411499808997689</v>
      </c>
      <c r="BT45" s="126">
        <v>10.800144204045424</v>
      </c>
      <c r="BU45" s="126">
        <v>13.618623163524219</v>
      </c>
      <c r="BV45" s="126">
        <v>8.6092426613157329</v>
      </c>
      <c r="BW45" s="126">
        <v>-5.1317244436884835</v>
      </c>
      <c r="BX45" s="126">
        <v>-12.832445570208947</v>
      </c>
      <c r="BY45" s="126">
        <v>-15.836473925516401</v>
      </c>
      <c r="BZ45" s="126">
        <v>-16.965936179829384</v>
      </c>
      <c r="CA45" s="126">
        <v>-9.8709690829694807</v>
      </c>
      <c r="CB45" s="126">
        <v>0.27607244822442567</v>
      </c>
      <c r="CC45" s="126">
        <v>2.3898197189639916</v>
      </c>
      <c r="CD45" s="126">
        <v>10.214438937971252</v>
      </c>
      <c r="CE45" s="126">
        <v>1.9355908036847751</v>
      </c>
      <c r="CF45" s="126">
        <v>2.1206071645526947</v>
      </c>
      <c r="CG45" s="126">
        <v>5.0493172900666394</v>
      </c>
      <c r="CH45" s="127">
        <v>-2.9124161661459027</v>
      </c>
    </row>
    <row r="46" spans="1:86" s="38" customFormat="1" x14ac:dyDescent="0.2">
      <c r="A46" s="104" t="s">
        <v>68</v>
      </c>
      <c r="B46" s="105" t="s">
        <v>69</v>
      </c>
      <c r="C46" s="110"/>
      <c r="D46" s="110"/>
      <c r="E46" s="110"/>
      <c r="F46" s="110"/>
      <c r="G46" s="117">
        <v>12.63505758076758</v>
      </c>
      <c r="H46" s="117">
        <v>5.7412728255872452</v>
      </c>
      <c r="I46" s="117">
        <v>7.7174400874691713</v>
      </c>
      <c r="J46" s="117">
        <v>12.280994956588557</v>
      </c>
      <c r="K46" s="117">
        <v>1.8455467295167836</v>
      </c>
      <c r="L46" s="117">
        <v>1.1140816112692846</v>
      </c>
      <c r="M46" s="117">
        <v>8.3196774245951133</v>
      </c>
      <c r="N46" s="117">
        <v>12.647008591130572</v>
      </c>
      <c r="O46" s="117">
        <v>13.790024211564685</v>
      </c>
      <c r="P46" s="117">
        <v>12.166458614381199</v>
      </c>
      <c r="Q46" s="117">
        <v>-6.6155601633468564E-2</v>
      </c>
      <c r="R46" s="117">
        <v>-13.487611022113825</v>
      </c>
      <c r="S46" s="117">
        <v>-5.719515337211206</v>
      </c>
      <c r="T46" s="117">
        <v>-10.290687233908599</v>
      </c>
      <c r="U46" s="117">
        <v>-7.2403875170099354</v>
      </c>
      <c r="V46" s="117">
        <v>2.8622936839439461</v>
      </c>
      <c r="W46" s="117">
        <v>-0.85194649618868823</v>
      </c>
      <c r="X46" s="117">
        <v>4.7797280246852978</v>
      </c>
      <c r="Y46" s="117">
        <v>1.8610251740466452</v>
      </c>
      <c r="Z46" s="117">
        <v>2.478807189417239</v>
      </c>
      <c r="AA46" s="117">
        <v>13.341329782054373</v>
      </c>
      <c r="AB46" s="117">
        <v>11.468626850799353</v>
      </c>
      <c r="AC46" s="117">
        <v>11.818491015621419</v>
      </c>
      <c r="AD46" s="117">
        <v>12.434317170801236</v>
      </c>
      <c r="AE46" s="117">
        <v>8.5439493808797522</v>
      </c>
      <c r="AF46" s="117">
        <v>2.2484947610372075</v>
      </c>
      <c r="AG46" s="117">
        <v>6.5568216887026693</v>
      </c>
      <c r="AH46" s="117">
        <v>0.86645855817357642</v>
      </c>
      <c r="AI46" s="117">
        <v>-2.9367238594743412</v>
      </c>
      <c r="AJ46" s="117">
        <v>8.7209896744404887</v>
      </c>
      <c r="AK46" s="117">
        <v>0.9591099750220593</v>
      </c>
      <c r="AL46" s="117">
        <v>12.040570627058415</v>
      </c>
      <c r="AM46" s="117">
        <v>5.5613578583744356</v>
      </c>
      <c r="AN46" s="117">
        <v>-2.8807680823181414</v>
      </c>
      <c r="AO46" s="117">
        <v>2.9827536166988864</v>
      </c>
      <c r="AP46" s="117">
        <v>-5.8300829051697036</v>
      </c>
      <c r="AQ46" s="117">
        <v>0.27169252456641857</v>
      </c>
      <c r="AR46" s="117">
        <v>6.2440101381834268</v>
      </c>
      <c r="AS46" s="117">
        <v>-2.9196589404201063</v>
      </c>
      <c r="AT46" s="117">
        <v>3.1118314644165395</v>
      </c>
      <c r="AU46" s="117">
        <v>-1.6914923142269345</v>
      </c>
      <c r="AV46" s="117">
        <v>-4.5391141682637084</v>
      </c>
      <c r="AW46" s="117">
        <v>1.038367046338081</v>
      </c>
      <c r="AX46" s="117">
        <v>4.2651220275502766</v>
      </c>
      <c r="AY46" s="117">
        <v>3.1293425823906773</v>
      </c>
      <c r="AZ46" s="117">
        <v>3.1233455210516752</v>
      </c>
      <c r="BA46" s="117">
        <v>3.7964749840358536</v>
      </c>
      <c r="BB46" s="117">
        <v>0.48264673404499092</v>
      </c>
      <c r="BC46" s="117">
        <v>-2.3173910976528589</v>
      </c>
      <c r="BD46" s="117">
        <v>-0.16445695432125262</v>
      </c>
      <c r="BE46" s="117">
        <v>1.5593776457458262</v>
      </c>
      <c r="BF46" s="117">
        <v>3.2054135988077093</v>
      </c>
      <c r="BG46" s="117">
        <v>6.9106479949973618</v>
      </c>
      <c r="BH46" s="117">
        <v>6.6914615480428097</v>
      </c>
      <c r="BI46" s="117">
        <v>2.5954621622545915</v>
      </c>
      <c r="BJ46" s="117">
        <v>-2.9496276084862387</v>
      </c>
      <c r="BK46" s="117">
        <v>-7.0847091192592728</v>
      </c>
      <c r="BL46" s="117">
        <v>-31.30416334573934</v>
      </c>
      <c r="BM46" s="117">
        <v>-28.090645850967036</v>
      </c>
      <c r="BN46" s="117">
        <v>-22.829429685775466</v>
      </c>
      <c r="BO46" s="117">
        <v>-10.127756750301259</v>
      </c>
      <c r="BP46" s="117">
        <v>13.905587596701835</v>
      </c>
      <c r="BQ46" s="117">
        <v>26.271954531235536</v>
      </c>
      <c r="BR46" s="117">
        <v>32.859471239235035</v>
      </c>
      <c r="BS46" s="117">
        <v>17.012063733032505</v>
      </c>
      <c r="BT46" s="117">
        <v>24.899254465304281</v>
      </c>
      <c r="BU46" s="117">
        <v>14.012804077202816</v>
      </c>
      <c r="BV46" s="117">
        <v>-1.6424857528540571</v>
      </c>
      <c r="BW46" s="117">
        <v>3.2341177376706867</v>
      </c>
      <c r="BX46" s="117">
        <v>1.5758432490527383</v>
      </c>
      <c r="BY46" s="117">
        <v>0.42322525714683934</v>
      </c>
      <c r="BZ46" s="117">
        <v>7.1177478098190932</v>
      </c>
      <c r="CA46" s="117">
        <v>-0.23239467360048138</v>
      </c>
      <c r="CB46" s="117">
        <v>0.35774421267538514</v>
      </c>
      <c r="CC46" s="117">
        <v>-0.95983498325230698</v>
      </c>
      <c r="CD46" s="117">
        <v>2.215195976883038</v>
      </c>
      <c r="CE46" s="117">
        <v>3.2580409868050708</v>
      </c>
      <c r="CF46" s="117">
        <v>0.36385094534871598</v>
      </c>
      <c r="CG46" s="117">
        <v>2.702138485610206</v>
      </c>
      <c r="CH46" s="118">
        <v>1.1696488065813497</v>
      </c>
    </row>
    <row r="47" spans="1:86" x14ac:dyDescent="0.2">
      <c r="A47" s="92" t="s">
        <v>70</v>
      </c>
      <c r="B47" s="93" t="s">
        <v>71</v>
      </c>
      <c r="C47" s="119"/>
      <c r="D47" s="119"/>
      <c r="E47" s="119"/>
      <c r="F47" s="119"/>
      <c r="G47" s="120">
        <v>15.423618570917967</v>
      </c>
      <c r="H47" s="120">
        <v>17.374908247221057</v>
      </c>
      <c r="I47" s="120">
        <v>21.533026064843483</v>
      </c>
      <c r="J47" s="120">
        <v>16.125604322577544</v>
      </c>
      <c r="K47" s="120">
        <v>15.765295533200458</v>
      </c>
      <c r="L47" s="120">
        <v>10.744651502303753</v>
      </c>
      <c r="M47" s="120">
        <v>12.655355504737457</v>
      </c>
      <c r="N47" s="120">
        <v>16.3377879664895</v>
      </c>
      <c r="O47" s="120">
        <v>16.970581031818853</v>
      </c>
      <c r="P47" s="120">
        <v>11.08514691202241</v>
      </c>
      <c r="Q47" s="120">
        <v>9.515046762085305</v>
      </c>
      <c r="R47" s="120">
        <v>13.096614779842966</v>
      </c>
      <c r="S47" s="120">
        <v>0.2671970833480799</v>
      </c>
      <c r="T47" s="120">
        <v>-8.0668454843394386</v>
      </c>
      <c r="U47" s="120">
        <v>-12.646838091701071</v>
      </c>
      <c r="V47" s="120">
        <v>-12.658222312340257</v>
      </c>
      <c r="W47" s="120">
        <v>-0.2576718849800983</v>
      </c>
      <c r="X47" s="120">
        <v>13.036553162050211</v>
      </c>
      <c r="Y47" s="120">
        <v>15.873348984519581</v>
      </c>
      <c r="Z47" s="120">
        <v>14.521471758060329</v>
      </c>
      <c r="AA47" s="120">
        <v>19.214571030108687</v>
      </c>
      <c r="AB47" s="120">
        <v>22.514384243873138</v>
      </c>
      <c r="AC47" s="120">
        <v>19.880076555599246</v>
      </c>
      <c r="AD47" s="120">
        <v>19.379898000601912</v>
      </c>
      <c r="AE47" s="120">
        <v>14.615698079482314</v>
      </c>
      <c r="AF47" s="120">
        <v>9.6863119507571724</v>
      </c>
      <c r="AG47" s="120">
        <v>10.257666063208788</v>
      </c>
      <c r="AH47" s="120">
        <v>4.0421412134081294</v>
      </c>
      <c r="AI47" s="120">
        <v>6.740081194343972</v>
      </c>
      <c r="AJ47" s="120">
        <v>9.7237858451030519</v>
      </c>
      <c r="AK47" s="120">
        <v>8.4527506992843939</v>
      </c>
      <c r="AL47" s="120">
        <v>9.0477989228477327</v>
      </c>
      <c r="AM47" s="120">
        <v>8.4607985248679682</v>
      </c>
      <c r="AN47" s="120">
        <v>7.0867459610167032</v>
      </c>
      <c r="AO47" s="120">
        <v>4.5093020783812534</v>
      </c>
      <c r="AP47" s="120">
        <v>10.995014891069729</v>
      </c>
      <c r="AQ47" s="120">
        <v>1.5171606121202217</v>
      </c>
      <c r="AR47" s="120">
        <v>-3.1495544786898222</v>
      </c>
      <c r="AS47" s="120">
        <v>4.1361555122805953</v>
      </c>
      <c r="AT47" s="120">
        <v>-6.2375909821774371</v>
      </c>
      <c r="AU47" s="120">
        <v>-2.1369694220816342</v>
      </c>
      <c r="AV47" s="120">
        <v>-1.6621209063213769</v>
      </c>
      <c r="AW47" s="120">
        <v>-8.5545288475766625</v>
      </c>
      <c r="AX47" s="120">
        <v>-1.4422022198067026</v>
      </c>
      <c r="AY47" s="120">
        <v>2.4592548703409705</v>
      </c>
      <c r="AZ47" s="120">
        <v>2.5635395041650781</v>
      </c>
      <c r="BA47" s="120">
        <v>1.4867635335151164</v>
      </c>
      <c r="BB47" s="120">
        <v>-2.2044098482295453</v>
      </c>
      <c r="BC47" s="120">
        <v>-1.3976376030697395</v>
      </c>
      <c r="BD47" s="120">
        <v>4.5727963361398736</v>
      </c>
      <c r="BE47" s="120">
        <v>5.0400832536582101</v>
      </c>
      <c r="BF47" s="120">
        <v>14.684101088921537</v>
      </c>
      <c r="BG47" s="120">
        <v>11.885350293532099</v>
      </c>
      <c r="BH47" s="120">
        <v>9.1360001366570458</v>
      </c>
      <c r="BI47" s="120">
        <v>10.964671681049438</v>
      </c>
      <c r="BJ47" s="120">
        <v>-1.3061195073363905</v>
      </c>
      <c r="BK47" s="120">
        <v>-4.3160674068780907</v>
      </c>
      <c r="BL47" s="120">
        <v>-33.601695153367061</v>
      </c>
      <c r="BM47" s="120">
        <v>-25.59455595212431</v>
      </c>
      <c r="BN47" s="120">
        <v>-15.699930412876824</v>
      </c>
      <c r="BO47" s="120">
        <v>-5.2312769217248416</v>
      </c>
      <c r="BP47" s="120">
        <v>45.927751422431328</v>
      </c>
      <c r="BQ47" s="120">
        <v>39.579106980866499</v>
      </c>
      <c r="BR47" s="120">
        <v>33.888630526737018</v>
      </c>
      <c r="BS47" s="120">
        <v>38.833649612532554</v>
      </c>
      <c r="BT47" s="120">
        <v>25.663435043320092</v>
      </c>
      <c r="BU47" s="120">
        <v>23.858792787142022</v>
      </c>
      <c r="BV47" s="120">
        <v>11.594393777778848</v>
      </c>
      <c r="BW47" s="120">
        <v>-1.6411993645822633</v>
      </c>
      <c r="BX47" s="120">
        <v>-8.0114413141952383</v>
      </c>
      <c r="BY47" s="120">
        <v>-18.354831979658684</v>
      </c>
      <c r="BZ47" s="120">
        <v>-11.112624691042356</v>
      </c>
      <c r="CA47" s="120">
        <v>-11.094991418218441</v>
      </c>
      <c r="CB47" s="120">
        <v>0.36425260898423062</v>
      </c>
      <c r="CC47" s="120">
        <v>8.446165513709218</v>
      </c>
      <c r="CD47" s="120">
        <v>7.6334033398696164</v>
      </c>
      <c r="CE47" s="120">
        <v>12.690599525127894</v>
      </c>
      <c r="CF47" s="120">
        <v>10.423648510334218</v>
      </c>
      <c r="CG47" s="120">
        <v>9.9462239658205931</v>
      </c>
      <c r="CH47" s="121">
        <v>1.4342069948036738</v>
      </c>
    </row>
    <row r="48" spans="1:86" x14ac:dyDescent="0.2">
      <c r="A48" s="106" t="s">
        <v>42</v>
      </c>
      <c r="B48" s="107" t="s">
        <v>46</v>
      </c>
      <c r="C48" s="128"/>
      <c r="D48" s="128"/>
      <c r="E48" s="128"/>
      <c r="F48" s="128"/>
      <c r="G48" s="129">
        <v>6.3755741455926511</v>
      </c>
      <c r="H48" s="129">
        <v>5.3230390498123938</v>
      </c>
      <c r="I48" s="129">
        <v>7.6542650103254743</v>
      </c>
      <c r="J48" s="129">
        <v>7.4020784320535853</v>
      </c>
      <c r="K48" s="129">
        <v>6.7128663746102148</v>
      </c>
      <c r="L48" s="129">
        <v>6.8613055041010682</v>
      </c>
      <c r="M48" s="129">
        <v>6.8544720818307638</v>
      </c>
      <c r="N48" s="129">
        <v>6.5425803059048491</v>
      </c>
      <c r="O48" s="129">
        <v>5.1743786969130383</v>
      </c>
      <c r="P48" s="129">
        <v>4.7853125708882942</v>
      </c>
      <c r="Q48" s="129">
        <v>3.3195886444682401</v>
      </c>
      <c r="R48" s="129">
        <v>0.27975741740149829</v>
      </c>
      <c r="S48" s="129">
        <v>0.14508701496795595</v>
      </c>
      <c r="T48" s="129">
        <v>0.69535102684091044</v>
      </c>
      <c r="U48" s="129">
        <v>0.5323647300171217</v>
      </c>
      <c r="V48" s="129">
        <v>3.0391960253996331</v>
      </c>
      <c r="W48" s="129">
        <v>3.8803501804015781</v>
      </c>
      <c r="X48" s="129">
        <v>4.6245493552704318</v>
      </c>
      <c r="Y48" s="129">
        <v>4.0474546445724116</v>
      </c>
      <c r="Z48" s="129">
        <v>5.3385254044385135</v>
      </c>
      <c r="AA48" s="129">
        <v>6.7991976972209329</v>
      </c>
      <c r="AB48" s="129">
        <v>6.7825904663660879</v>
      </c>
      <c r="AC48" s="129">
        <v>7.9182778431672602</v>
      </c>
      <c r="AD48" s="129">
        <v>6.3253582607035668</v>
      </c>
      <c r="AE48" s="129">
        <v>6.135156113255988</v>
      </c>
      <c r="AF48" s="129">
        <v>4.8460369739956661</v>
      </c>
      <c r="AG48" s="129">
        <v>2.2472410109099172</v>
      </c>
      <c r="AH48" s="129">
        <v>2.6962516472260631</v>
      </c>
      <c r="AI48" s="129">
        <v>2.3818401066837254</v>
      </c>
      <c r="AJ48" s="129">
        <v>5.3733023972656326</v>
      </c>
      <c r="AK48" s="129">
        <v>6.2485426277500125</v>
      </c>
      <c r="AL48" s="129">
        <v>6.3506629279461322</v>
      </c>
      <c r="AM48" s="129">
        <v>6.6000142839710776</v>
      </c>
      <c r="AN48" s="129">
        <v>3.4253216278082164</v>
      </c>
      <c r="AO48" s="129">
        <v>4.3859521764861427</v>
      </c>
      <c r="AP48" s="129">
        <v>3.7632113433477201</v>
      </c>
      <c r="AQ48" s="129">
        <v>2.828076886173946</v>
      </c>
      <c r="AR48" s="129">
        <v>3.4223327835345714</v>
      </c>
      <c r="AS48" s="129">
        <v>3.5756298307939574</v>
      </c>
      <c r="AT48" s="129">
        <v>2.0599500204304206</v>
      </c>
      <c r="AU48" s="129">
        <v>2.3747843586882027</v>
      </c>
      <c r="AV48" s="129">
        <v>2.1220984991595628</v>
      </c>
      <c r="AW48" s="129">
        <v>1.5566086517763438</v>
      </c>
      <c r="AX48" s="129">
        <v>2.3047005674698084</v>
      </c>
      <c r="AY48" s="129">
        <v>1.0694631972319826</v>
      </c>
      <c r="AZ48" s="129">
        <v>1.2698275694354066</v>
      </c>
      <c r="BA48" s="129">
        <v>1.6900414219209239</v>
      </c>
      <c r="BB48" s="129">
        <v>1.3887830905161138</v>
      </c>
      <c r="BC48" s="129">
        <v>1.6492417488619253</v>
      </c>
      <c r="BD48" s="129">
        <v>2.7484906327465808</v>
      </c>
      <c r="BE48" s="129">
        <v>2.8808027902824023</v>
      </c>
      <c r="BF48" s="129">
        <v>2.9137462071450813</v>
      </c>
      <c r="BG48" s="129">
        <v>3.4755274143507364</v>
      </c>
      <c r="BH48" s="129">
        <v>3.0750980391542697</v>
      </c>
      <c r="BI48" s="129">
        <v>3.1269436421785173</v>
      </c>
      <c r="BJ48" s="129">
        <v>3.0910783324639084</v>
      </c>
      <c r="BK48" s="129">
        <v>0.34608976169481309</v>
      </c>
      <c r="BL48" s="129">
        <v>-16.711006681806069</v>
      </c>
      <c r="BM48" s="129">
        <v>-9.0802619617547009</v>
      </c>
      <c r="BN48" s="129">
        <v>-3.3098451514189833</v>
      </c>
      <c r="BO48" s="129">
        <v>1.4997003938947273</v>
      </c>
      <c r="BP48" s="129">
        <v>18.422283680751164</v>
      </c>
      <c r="BQ48" s="129">
        <v>13.323881690290023</v>
      </c>
      <c r="BR48" s="129">
        <v>11.081377613613384</v>
      </c>
      <c r="BS48" s="129">
        <v>8.1051367162309589</v>
      </c>
      <c r="BT48" s="129">
        <v>12.386056909535085</v>
      </c>
      <c r="BU48" s="129">
        <v>7.4010353147935035</v>
      </c>
      <c r="BV48" s="129">
        <v>2.330790474303825</v>
      </c>
      <c r="BW48" s="129">
        <v>2.8075118927961569</v>
      </c>
      <c r="BX48" s="129">
        <v>0.40576595443431529</v>
      </c>
      <c r="BY48" s="129">
        <v>-0.44678468326799248</v>
      </c>
      <c r="BZ48" s="129">
        <v>0.73162985707475059</v>
      </c>
      <c r="CA48" s="129">
        <v>0.31878092683700743</v>
      </c>
      <c r="CB48" s="129">
        <v>1.5997578512279489</v>
      </c>
      <c r="CC48" s="129">
        <v>1.6057210478165302</v>
      </c>
      <c r="CD48" s="129">
        <v>2.3560545451554447</v>
      </c>
      <c r="CE48" s="129">
        <v>2.5930290378729524</v>
      </c>
      <c r="CF48" s="129">
        <v>2.1174491221797496</v>
      </c>
      <c r="CG48" s="129">
        <v>3.5978601551707357</v>
      </c>
      <c r="CH48" s="130">
        <v>2.2680951451834943</v>
      </c>
    </row>
    <row r="49" spans="1:86" x14ac:dyDescent="0.2">
      <c r="F49" s="78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BJ49" s="131"/>
      <c r="BK49" s="131"/>
      <c r="BL49" s="131"/>
      <c r="BM49" s="131"/>
      <c r="BN49" s="131"/>
      <c r="BO49" s="131"/>
      <c r="BP49" s="131"/>
      <c r="BQ49" s="131"/>
      <c r="BR49" s="131"/>
      <c r="BS49" s="131"/>
      <c r="BT49" s="131"/>
      <c r="BU49" s="131"/>
    </row>
    <row r="50" spans="1:86" ht="12" customHeight="1" x14ac:dyDescent="0.2">
      <c r="A50" s="111" t="s">
        <v>72</v>
      </c>
      <c r="B50" s="47"/>
      <c r="C50" s="17"/>
      <c r="D50" s="132"/>
      <c r="E50" s="17"/>
      <c r="F50" s="133"/>
      <c r="G50" s="48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</row>
    <row r="51" spans="1:86" ht="12" customHeight="1" x14ac:dyDescent="0.2">
      <c r="A51" s="113" t="s">
        <v>48</v>
      </c>
      <c r="B51" s="50"/>
      <c r="F51" s="78"/>
      <c r="G51" s="51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</row>
    <row r="52" spans="1:86" ht="12" customHeight="1" x14ac:dyDescent="0.2">
      <c r="A52" s="113" t="s">
        <v>49</v>
      </c>
      <c r="B52" s="50"/>
      <c r="F52" s="78"/>
      <c r="G52" s="51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</row>
    <row r="53" spans="1:86" ht="12" customHeight="1" x14ac:dyDescent="0.2">
      <c r="A53" s="113" t="s">
        <v>73</v>
      </c>
      <c r="B53" s="50"/>
      <c r="F53" s="78"/>
      <c r="G53" s="51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</row>
    <row r="54" spans="1:86" ht="12" customHeight="1" x14ac:dyDescent="0.2">
      <c r="A54" s="49" t="s">
        <v>74</v>
      </c>
      <c r="B54" s="50"/>
      <c r="F54" s="78"/>
      <c r="G54" s="51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</row>
    <row r="55" spans="1:86" ht="12" customHeight="1" x14ac:dyDescent="0.2">
      <c r="A55" s="52" t="s">
        <v>50</v>
      </c>
      <c r="B55" s="53"/>
      <c r="C55" s="134"/>
      <c r="D55" s="135"/>
      <c r="E55" s="134"/>
      <c r="F55" s="136"/>
      <c r="G55" s="54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</row>
    <row r="56" spans="1:86" x14ac:dyDescent="0.2">
      <c r="A56" s="137"/>
      <c r="B56" s="137"/>
      <c r="F56" s="78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</row>
    <row r="57" spans="1:86" x14ac:dyDescent="0.2">
      <c r="A57" s="137"/>
      <c r="B57" s="137"/>
      <c r="F57" s="78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</row>
    <row r="58" spans="1:86" ht="14.25" customHeight="1" x14ac:dyDescent="0.2">
      <c r="A58" s="175" t="s">
        <v>0</v>
      </c>
      <c r="B58" s="175"/>
      <c r="C58" s="175"/>
      <c r="D58" s="175"/>
      <c r="E58" s="175"/>
      <c r="F58" s="175"/>
      <c r="G58" s="17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86" ht="14.25" customHeight="1" x14ac:dyDescent="0.2">
      <c r="A59" s="175"/>
      <c r="B59" s="175"/>
      <c r="C59" s="175"/>
      <c r="D59" s="175"/>
      <c r="E59" s="175"/>
      <c r="F59" s="175"/>
      <c r="G59" s="17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86" ht="14" customHeight="1" x14ac:dyDescent="0.2">
      <c r="A60" s="5" t="s">
        <v>54</v>
      </c>
      <c r="B60" s="6"/>
      <c r="C60" s="6"/>
      <c r="D60" s="6"/>
      <c r="E60" s="6"/>
      <c r="F60" s="6"/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86" ht="14" customHeight="1" x14ac:dyDescent="0.2">
      <c r="A61" s="5" t="s">
        <v>52</v>
      </c>
      <c r="B61" s="6"/>
      <c r="C61" s="6"/>
      <c r="D61" s="6"/>
      <c r="E61" s="6"/>
      <c r="F61" s="6"/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86" ht="16.5" customHeight="1" x14ac:dyDescent="0.2">
      <c r="A62" s="9" t="s">
        <v>55</v>
      </c>
      <c r="B62" s="10"/>
      <c r="C62" s="10"/>
      <c r="D62" s="10"/>
      <c r="E62" s="10"/>
      <c r="F62" s="10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4" spans="1:86" s="13" customFormat="1" ht="40" customHeight="1" x14ac:dyDescent="0.2">
      <c r="A64" s="194" t="s">
        <v>8</v>
      </c>
      <c r="B64" s="192" t="s">
        <v>10</v>
      </c>
      <c r="C64" s="192"/>
      <c r="D64" s="192"/>
      <c r="E64" s="192"/>
      <c r="F64" s="192"/>
      <c r="G64" s="192">
        <v>2006</v>
      </c>
      <c r="H64" s="192"/>
      <c r="I64" s="192"/>
      <c r="J64" s="192"/>
      <c r="K64" s="192">
        <v>2007</v>
      </c>
      <c r="L64" s="192"/>
      <c r="M64" s="192"/>
      <c r="N64" s="192"/>
      <c r="O64" s="192">
        <v>2008</v>
      </c>
      <c r="P64" s="192"/>
      <c r="Q64" s="192"/>
      <c r="R64" s="192"/>
      <c r="S64" s="192">
        <v>2009</v>
      </c>
      <c r="T64" s="192"/>
      <c r="U64" s="192"/>
      <c r="V64" s="192"/>
      <c r="W64" s="192">
        <v>2010</v>
      </c>
      <c r="X64" s="192"/>
      <c r="Y64" s="192"/>
      <c r="Z64" s="192"/>
      <c r="AA64" s="192">
        <v>2011</v>
      </c>
      <c r="AB64" s="192"/>
      <c r="AC64" s="192"/>
      <c r="AD64" s="192"/>
      <c r="AE64" s="192">
        <v>2012</v>
      </c>
      <c r="AF64" s="192"/>
      <c r="AG64" s="192"/>
      <c r="AH64" s="192"/>
      <c r="AI64" s="192">
        <v>2013</v>
      </c>
      <c r="AJ64" s="192"/>
      <c r="AK64" s="192"/>
      <c r="AL64" s="192"/>
      <c r="AM64" s="192">
        <v>2014</v>
      </c>
      <c r="AN64" s="192"/>
      <c r="AO64" s="192"/>
      <c r="AP64" s="192"/>
      <c r="AQ64" s="192">
        <v>2015</v>
      </c>
      <c r="AR64" s="192"/>
      <c r="AS64" s="192"/>
      <c r="AT64" s="192"/>
      <c r="AU64" s="192">
        <v>2016</v>
      </c>
      <c r="AV64" s="192"/>
      <c r="AW64" s="192"/>
      <c r="AX64" s="192"/>
      <c r="AY64" s="192">
        <v>2017</v>
      </c>
      <c r="AZ64" s="192"/>
      <c r="BA64" s="192"/>
      <c r="BB64" s="192"/>
      <c r="BC64" s="192">
        <v>2018</v>
      </c>
      <c r="BD64" s="192"/>
      <c r="BE64" s="192"/>
      <c r="BF64" s="192"/>
      <c r="BG64" s="192">
        <v>2019</v>
      </c>
      <c r="BH64" s="192"/>
      <c r="BI64" s="192"/>
      <c r="BJ64" s="192"/>
      <c r="BK64" s="192">
        <v>2020</v>
      </c>
      <c r="BL64" s="192"/>
      <c r="BM64" s="192"/>
      <c r="BN64" s="192"/>
      <c r="BO64" s="192">
        <v>2021</v>
      </c>
      <c r="BP64" s="192"/>
      <c r="BQ64" s="192"/>
      <c r="BR64" s="192"/>
      <c r="BS64" s="192">
        <v>2022</v>
      </c>
      <c r="BT64" s="192"/>
      <c r="BU64" s="192"/>
      <c r="BV64" s="192"/>
      <c r="BW64" s="192">
        <v>2023</v>
      </c>
      <c r="BX64" s="192"/>
      <c r="BY64" s="192"/>
      <c r="BZ64" s="192"/>
      <c r="CA64" s="192" t="s">
        <v>12</v>
      </c>
      <c r="CB64" s="192"/>
      <c r="CC64" s="192"/>
      <c r="CD64" s="192"/>
      <c r="CE64" s="192" t="s">
        <v>13</v>
      </c>
      <c r="CF64" s="192"/>
      <c r="CG64" s="192"/>
      <c r="CH64" s="197"/>
    </row>
    <row r="65" spans="1:86" s="13" customFormat="1" ht="12" customHeight="1" x14ac:dyDescent="0.2">
      <c r="A65" s="195"/>
      <c r="B65" s="196"/>
      <c r="C65" s="84"/>
      <c r="D65" s="84"/>
      <c r="E65" s="84"/>
      <c r="F65" s="84"/>
      <c r="G65" s="84" t="s">
        <v>14</v>
      </c>
      <c r="H65" s="84" t="s">
        <v>15</v>
      </c>
      <c r="I65" s="84" t="s">
        <v>16</v>
      </c>
      <c r="J65" s="84" t="s">
        <v>17</v>
      </c>
      <c r="K65" s="84" t="s">
        <v>14</v>
      </c>
      <c r="L65" s="84" t="s">
        <v>15</v>
      </c>
      <c r="M65" s="84" t="s">
        <v>16</v>
      </c>
      <c r="N65" s="84" t="s">
        <v>17</v>
      </c>
      <c r="O65" s="84" t="s">
        <v>14</v>
      </c>
      <c r="P65" s="84" t="s">
        <v>15</v>
      </c>
      <c r="Q65" s="84" t="s">
        <v>16</v>
      </c>
      <c r="R65" s="84" t="s">
        <v>17</v>
      </c>
      <c r="S65" s="84" t="s">
        <v>14</v>
      </c>
      <c r="T65" s="84" t="s">
        <v>15</v>
      </c>
      <c r="U65" s="84" t="s">
        <v>16</v>
      </c>
      <c r="V65" s="84" t="s">
        <v>17</v>
      </c>
      <c r="W65" s="84" t="s">
        <v>14</v>
      </c>
      <c r="X65" s="84" t="s">
        <v>15</v>
      </c>
      <c r="Y65" s="84" t="s">
        <v>16</v>
      </c>
      <c r="Z65" s="84" t="s">
        <v>17</v>
      </c>
      <c r="AA65" s="84" t="s">
        <v>14</v>
      </c>
      <c r="AB65" s="84" t="s">
        <v>15</v>
      </c>
      <c r="AC65" s="84" t="s">
        <v>16</v>
      </c>
      <c r="AD65" s="84" t="s">
        <v>17</v>
      </c>
      <c r="AE65" s="84" t="s">
        <v>14</v>
      </c>
      <c r="AF65" s="84" t="s">
        <v>15</v>
      </c>
      <c r="AG65" s="84" t="s">
        <v>16</v>
      </c>
      <c r="AH65" s="84" t="s">
        <v>17</v>
      </c>
      <c r="AI65" s="84" t="s">
        <v>14</v>
      </c>
      <c r="AJ65" s="84" t="s">
        <v>15</v>
      </c>
      <c r="AK65" s="84" t="s">
        <v>16</v>
      </c>
      <c r="AL65" s="84" t="s">
        <v>17</v>
      </c>
      <c r="AM65" s="84" t="s">
        <v>14</v>
      </c>
      <c r="AN65" s="84" t="s">
        <v>15</v>
      </c>
      <c r="AO65" s="84" t="s">
        <v>16</v>
      </c>
      <c r="AP65" s="84" t="s">
        <v>17</v>
      </c>
      <c r="AQ65" s="84" t="s">
        <v>14</v>
      </c>
      <c r="AR65" s="84" t="s">
        <v>15</v>
      </c>
      <c r="AS65" s="84" t="s">
        <v>16</v>
      </c>
      <c r="AT65" s="84" t="s">
        <v>17</v>
      </c>
      <c r="AU65" s="84" t="s">
        <v>14</v>
      </c>
      <c r="AV65" s="84" t="s">
        <v>15</v>
      </c>
      <c r="AW65" s="84" t="s">
        <v>16</v>
      </c>
      <c r="AX65" s="84" t="s">
        <v>17</v>
      </c>
      <c r="AY65" s="84" t="s">
        <v>14</v>
      </c>
      <c r="AZ65" s="84" t="s">
        <v>15</v>
      </c>
      <c r="BA65" s="84" t="s">
        <v>16</v>
      </c>
      <c r="BB65" s="84" t="s">
        <v>17</v>
      </c>
      <c r="BC65" s="84" t="s">
        <v>14</v>
      </c>
      <c r="BD65" s="84" t="s">
        <v>15</v>
      </c>
      <c r="BE65" s="84" t="s">
        <v>16</v>
      </c>
      <c r="BF65" s="84" t="s">
        <v>17</v>
      </c>
      <c r="BG65" s="84" t="s">
        <v>14</v>
      </c>
      <c r="BH65" s="84" t="s">
        <v>15</v>
      </c>
      <c r="BI65" s="84" t="s">
        <v>16</v>
      </c>
      <c r="BJ65" s="84" t="s">
        <v>17</v>
      </c>
      <c r="BK65" s="84" t="s">
        <v>14</v>
      </c>
      <c r="BL65" s="84" t="s">
        <v>15</v>
      </c>
      <c r="BM65" s="84" t="s">
        <v>16</v>
      </c>
      <c r="BN65" s="84" t="s">
        <v>17</v>
      </c>
      <c r="BO65" s="84" t="s">
        <v>14</v>
      </c>
      <c r="BP65" s="84" t="s">
        <v>15</v>
      </c>
      <c r="BQ65" s="84" t="s">
        <v>16</v>
      </c>
      <c r="BR65" s="84" t="s">
        <v>17</v>
      </c>
      <c r="BS65" s="84" t="s">
        <v>14</v>
      </c>
      <c r="BT65" s="84" t="s">
        <v>15</v>
      </c>
      <c r="BU65" s="84" t="s">
        <v>16</v>
      </c>
      <c r="BV65" s="84" t="s">
        <v>17</v>
      </c>
      <c r="BW65" s="84" t="s">
        <v>14</v>
      </c>
      <c r="BX65" s="84" t="s">
        <v>15</v>
      </c>
      <c r="BY65" s="84" t="s">
        <v>16</v>
      </c>
      <c r="BZ65" s="84" t="s">
        <v>17</v>
      </c>
      <c r="CA65" s="84" t="s">
        <v>14</v>
      </c>
      <c r="CB65" s="84" t="s">
        <v>15</v>
      </c>
      <c r="CC65" s="84" t="s">
        <v>16</v>
      </c>
      <c r="CD65" s="84" t="s">
        <v>17</v>
      </c>
      <c r="CE65" s="84" t="s">
        <v>14</v>
      </c>
      <c r="CF65" s="84" t="s">
        <v>15</v>
      </c>
      <c r="CG65" s="84" t="s">
        <v>16</v>
      </c>
      <c r="CH65" s="85" t="s">
        <v>17</v>
      </c>
    </row>
    <row r="66" spans="1:86" ht="13.25" customHeight="1" x14ac:dyDescent="0.2">
      <c r="A66" s="86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7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8"/>
    </row>
    <row r="67" spans="1:86" ht="15" x14ac:dyDescent="0.2">
      <c r="A67" s="89" t="s">
        <v>56</v>
      </c>
      <c r="B67" s="38" t="s">
        <v>57</v>
      </c>
      <c r="C67" s="115"/>
      <c r="D67" s="115"/>
      <c r="E67" s="115"/>
      <c r="F67" s="115"/>
      <c r="G67" s="116">
        <v>8.6775408595623986</v>
      </c>
      <c r="H67" s="116">
        <v>7.9967586025352375</v>
      </c>
      <c r="I67" s="116">
        <v>9.2617955920329678</v>
      </c>
      <c r="J67" s="116">
        <v>8.4244452510780121</v>
      </c>
      <c r="K67" s="116">
        <v>9.3643368391292938</v>
      </c>
      <c r="L67" s="116">
        <v>9.0051168300621498</v>
      </c>
      <c r="M67" s="116">
        <v>8.6025184156026882</v>
      </c>
      <c r="N67" s="116">
        <v>8.3237374870777785</v>
      </c>
      <c r="O67" s="116">
        <v>6.1875367216804023</v>
      </c>
      <c r="P67" s="116">
        <v>5.5174583922542126</v>
      </c>
      <c r="Q67" s="116">
        <v>5.3602000702248631</v>
      </c>
      <c r="R67" s="116">
        <v>5.3098291868247003</v>
      </c>
      <c r="S67" s="116">
        <v>1.2128731344573538</v>
      </c>
      <c r="T67" s="116">
        <v>1.0597289454479011</v>
      </c>
      <c r="U67" s="116">
        <v>0.39921645982070686</v>
      </c>
      <c r="V67" s="116">
        <v>0.25396753730500166</v>
      </c>
      <c r="W67" s="116">
        <v>3.8745892307235437</v>
      </c>
      <c r="X67" s="116">
        <v>5.0175009024107737</v>
      </c>
      <c r="Y67" s="116">
        <v>5.5263563204734254</v>
      </c>
      <c r="Z67" s="116">
        <v>6.0450386259053346</v>
      </c>
      <c r="AA67" s="116">
        <v>7.8907760599240362</v>
      </c>
      <c r="AB67" s="116">
        <v>8.3489207103207832</v>
      </c>
      <c r="AC67" s="116">
        <v>8.7174388807095937</v>
      </c>
      <c r="AD67" s="116">
        <v>8.4373677608798232</v>
      </c>
      <c r="AE67" s="116">
        <v>7.1815532254851746</v>
      </c>
      <c r="AF67" s="116">
        <v>6.7197639858519267</v>
      </c>
      <c r="AG67" s="116">
        <v>5.4718543038795531</v>
      </c>
      <c r="AH67" s="116">
        <v>4.8985517787357225</v>
      </c>
      <c r="AI67" s="116">
        <v>4.3366121148391983</v>
      </c>
      <c r="AJ67" s="116">
        <v>4.9989593892960613</v>
      </c>
      <c r="AK67" s="116">
        <v>5.8994892268988508</v>
      </c>
      <c r="AL67" s="116">
        <v>5.8894512832547576</v>
      </c>
      <c r="AM67" s="116">
        <v>7.1527731275319013</v>
      </c>
      <c r="AN67" s="116">
        <v>6.1845931480856819</v>
      </c>
      <c r="AO67" s="116">
        <v>5.6411579186139704</v>
      </c>
      <c r="AP67" s="116">
        <v>5.9868763198289514</v>
      </c>
      <c r="AQ67" s="116">
        <v>3.0319681002691965</v>
      </c>
      <c r="AR67" s="116">
        <v>2.3223033723258624</v>
      </c>
      <c r="AS67" s="116">
        <v>3.1484785388900178</v>
      </c>
      <c r="AT67" s="116">
        <v>2.3554054326995697</v>
      </c>
      <c r="AU67" s="116">
        <v>3.3317971658937608</v>
      </c>
      <c r="AV67" s="116">
        <v>1.9595721334631406</v>
      </c>
      <c r="AW67" s="116">
        <v>1.4277011047201711</v>
      </c>
      <c r="AX67" s="116">
        <v>1.2291266688798714</v>
      </c>
      <c r="AY67" s="116">
        <v>1.0657688044494904</v>
      </c>
      <c r="AZ67" s="116">
        <v>1.1724511165999161</v>
      </c>
      <c r="BA67" s="116">
        <v>1.2334509200440351</v>
      </c>
      <c r="BB67" s="116">
        <v>1.1240747854304658</v>
      </c>
      <c r="BC67" s="117">
        <v>1.6057621585466393</v>
      </c>
      <c r="BD67" s="117">
        <v>2.5661270644330472</v>
      </c>
      <c r="BE67" s="117">
        <v>2.8839193527470997</v>
      </c>
      <c r="BF67" s="117">
        <v>3.4633256907261227</v>
      </c>
      <c r="BG67" s="117">
        <v>4.5653290082043725</v>
      </c>
      <c r="BH67" s="117">
        <v>4.1446320136558654</v>
      </c>
      <c r="BI67" s="117">
        <v>4.3538660061499996</v>
      </c>
      <c r="BJ67" s="117">
        <v>4.0215202955588438</v>
      </c>
      <c r="BK67" s="117">
        <v>0.53523607979504106</v>
      </c>
      <c r="BL67" s="117">
        <v>-8.9297865210001959</v>
      </c>
      <c r="BM67" s="117">
        <v>-9.2107739000733062</v>
      </c>
      <c r="BN67" s="117">
        <v>-7.541076875260103</v>
      </c>
      <c r="BO67" s="117">
        <v>1.8893354553300981</v>
      </c>
      <c r="BP67" s="117">
        <v>12.054863667913267</v>
      </c>
      <c r="BQ67" s="117">
        <v>13.635745727842561</v>
      </c>
      <c r="BR67" s="117">
        <v>13.372988741510568</v>
      </c>
      <c r="BS67" s="117">
        <v>13.031051367831495</v>
      </c>
      <c r="BT67" s="117">
        <v>13.409215241496071</v>
      </c>
      <c r="BU67" s="117">
        <v>12.28528611046751</v>
      </c>
      <c r="BV67" s="117">
        <v>10.251820254172216</v>
      </c>
      <c r="BW67" s="117">
        <v>1.5572046718147732</v>
      </c>
      <c r="BX67" s="117">
        <v>-0.26477189039634652</v>
      </c>
      <c r="BY67" s="117">
        <v>-2.0524159712183945</v>
      </c>
      <c r="BZ67" s="117">
        <v>-2.4097626703302808</v>
      </c>
      <c r="CA67" s="117">
        <v>-2.3938448657469849</v>
      </c>
      <c r="CB67" s="117">
        <v>-0.46309971669384709</v>
      </c>
      <c r="CC67" s="117">
        <v>0.88617013537290745</v>
      </c>
      <c r="CD67" s="117">
        <v>1.6107727374635772</v>
      </c>
      <c r="CE67" s="117">
        <v>4.4516886136971863</v>
      </c>
      <c r="CF67" s="117">
        <v>4.2092843570379301</v>
      </c>
      <c r="CG67" s="117">
        <v>4.4515337458647082</v>
      </c>
      <c r="CH67" s="118">
        <v>3.8878175687549401</v>
      </c>
    </row>
    <row r="68" spans="1:86" x14ac:dyDescent="0.2">
      <c r="A68" s="92" t="s">
        <v>58</v>
      </c>
      <c r="B68" s="93" t="s">
        <v>59</v>
      </c>
      <c r="C68" s="119"/>
      <c r="D68" s="119"/>
      <c r="E68" s="119"/>
      <c r="F68" s="119"/>
      <c r="G68" s="120">
        <v>5.8105417811144804</v>
      </c>
      <c r="H68" s="120">
        <v>5.7066204694061327</v>
      </c>
      <c r="I68" s="120">
        <v>6.0445592873043381</v>
      </c>
      <c r="J68" s="120">
        <v>6.1721354309589742</v>
      </c>
      <c r="K68" s="120">
        <v>5.8435519120429973</v>
      </c>
      <c r="L68" s="120">
        <v>5.6250858135921504</v>
      </c>
      <c r="M68" s="120">
        <v>6.0266368502516059</v>
      </c>
      <c r="N68" s="120">
        <v>6.2138296366051549</v>
      </c>
      <c r="O68" s="120">
        <v>5.4998614619275088</v>
      </c>
      <c r="P68" s="120">
        <v>5.0697368050007867</v>
      </c>
      <c r="Q68" s="120">
        <v>4.5035837107596137</v>
      </c>
      <c r="R68" s="120">
        <v>4.2142148284668934</v>
      </c>
      <c r="S68" s="120">
        <v>2.457536291624308</v>
      </c>
      <c r="T68" s="120">
        <v>2.5455630831126257</v>
      </c>
      <c r="U68" s="120">
        <v>2.3606623519517314</v>
      </c>
      <c r="V68" s="120">
        <v>2.2149938985639039</v>
      </c>
      <c r="W68" s="120">
        <v>3.9253036430613122</v>
      </c>
      <c r="X68" s="120">
        <v>4.3106024286874884</v>
      </c>
      <c r="Y68" s="120">
        <v>4.7037932247760921</v>
      </c>
      <c r="Z68" s="120">
        <v>5.0824765204125129</v>
      </c>
      <c r="AA68" s="120">
        <v>4.6252328309760742</v>
      </c>
      <c r="AB68" s="120">
        <v>5.5429470307896764</v>
      </c>
      <c r="AC68" s="120">
        <v>5.5287295985605027</v>
      </c>
      <c r="AD68" s="120">
        <v>5.6693547472410444</v>
      </c>
      <c r="AE68" s="120">
        <v>6.9143011359900299</v>
      </c>
      <c r="AF68" s="120">
        <v>6.0296354023301006</v>
      </c>
      <c r="AG68" s="120">
        <v>5.7707788052391038</v>
      </c>
      <c r="AH68" s="120">
        <v>5.4921975767138633</v>
      </c>
      <c r="AI68" s="120">
        <v>4.823921353841115</v>
      </c>
      <c r="AJ68" s="120">
        <v>5.3842671483606068</v>
      </c>
      <c r="AK68" s="120">
        <v>5.3056028658073018</v>
      </c>
      <c r="AL68" s="120">
        <v>5.3539632419526129</v>
      </c>
      <c r="AM68" s="120">
        <v>4.7964144560403099</v>
      </c>
      <c r="AN68" s="120">
        <v>4.3709769311104338</v>
      </c>
      <c r="AO68" s="120">
        <v>4.283561450119052</v>
      </c>
      <c r="AP68" s="120">
        <v>4.324717592786314</v>
      </c>
      <c r="AQ68" s="120">
        <v>4.0320129265290632</v>
      </c>
      <c r="AR68" s="120">
        <v>4.1988462866113139</v>
      </c>
      <c r="AS68" s="120">
        <v>4.6062722861473162</v>
      </c>
      <c r="AT68" s="120">
        <v>3.4046971768183738</v>
      </c>
      <c r="AU68" s="120">
        <v>1.8254010611540537</v>
      </c>
      <c r="AV68" s="120">
        <v>1.6467003239676927</v>
      </c>
      <c r="AW68" s="120">
        <v>1.1237726516307447</v>
      </c>
      <c r="AX68" s="120">
        <v>1.6263777583142911</v>
      </c>
      <c r="AY68" s="120">
        <v>1.2025870236293486</v>
      </c>
      <c r="AZ68" s="120">
        <v>1.9927737514429396</v>
      </c>
      <c r="BA68" s="120">
        <v>2.3330541894744954</v>
      </c>
      <c r="BB68" s="120">
        <v>2.3303445450821698</v>
      </c>
      <c r="BC68" s="120">
        <v>3.6132581521031852</v>
      </c>
      <c r="BD68" s="120">
        <v>3.9207175212576857</v>
      </c>
      <c r="BE68" s="120">
        <v>3.9452545461014665</v>
      </c>
      <c r="BF68" s="120">
        <v>3.9707420517007108</v>
      </c>
      <c r="BG68" s="120">
        <v>3.3346405978682157</v>
      </c>
      <c r="BH68" s="120">
        <v>3.7724979542924899</v>
      </c>
      <c r="BI68" s="120">
        <v>4.040564854851155</v>
      </c>
      <c r="BJ68" s="120">
        <v>4.292842869917493</v>
      </c>
      <c r="BK68" s="120">
        <v>3.8874675900414104</v>
      </c>
      <c r="BL68" s="120">
        <v>-5.4767791057238782</v>
      </c>
      <c r="BM68" s="120">
        <v>-6.1652334626365359</v>
      </c>
      <c r="BN68" s="120">
        <v>-4.2140585056552453</v>
      </c>
      <c r="BO68" s="120">
        <v>3.3002797867935101</v>
      </c>
      <c r="BP68" s="120">
        <v>12.054123471387143</v>
      </c>
      <c r="BQ68" s="120">
        <v>14.283108023944123</v>
      </c>
      <c r="BR68" s="120">
        <v>13.766252065179557</v>
      </c>
      <c r="BS68" s="120">
        <v>11.729371001442885</v>
      </c>
      <c r="BT68" s="120">
        <v>13.601176583984113</v>
      </c>
      <c r="BU68" s="120">
        <v>11.863585562918317</v>
      </c>
      <c r="BV68" s="120">
        <v>9.0174036473226664</v>
      </c>
      <c r="BW68" s="120">
        <v>2.0813940446186621</v>
      </c>
      <c r="BX68" s="120">
        <v>1.2635354810548449</v>
      </c>
      <c r="BY68" s="120">
        <v>0.90065072536856405</v>
      </c>
      <c r="BZ68" s="120">
        <v>0.67886129510472415</v>
      </c>
      <c r="CA68" s="120">
        <v>-8.6513542830459755E-3</v>
      </c>
      <c r="CB68" s="120">
        <v>0.7048795128597618</v>
      </c>
      <c r="CC68" s="120">
        <v>0.70318757612197658</v>
      </c>
      <c r="CD68" s="120">
        <v>1.4653919254094916</v>
      </c>
      <c r="CE68" s="120">
        <v>3.6833210579925435</v>
      </c>
      <c r="CF68" s="120">
        <v>3.7234384922593762</v>
      </c>
      <c r="CG68" s="120">
        <v>4.394071844798404</v>
      </c>
      <c r="CH68" s="121">
        <v>4.2257510628449069</v>
      </c>
    </row>
    <row r="69" spans="1:86" ht="15" x14ac:dyDescent="0.2">
      <c r="A69" s="96" t="s">
        <v>60</v>
      </c>
      <c r="B69" s="97" t="s">
        <v>61</v>
      </c>
      <c r="C69" s="122"/>
      <c r="D69" s="122"/>
      <c r="E69" s="122"/>
      <c r="F69" s="122"/>
      <c r="G69" s="123">
        <v>6.0429622248906725</v>
      </c>
      <c r="H69" s="123">
        <v>6.1868622257192101</v>
      </c>
      <c r="I69" s="123">
        <v>6.4569426565284544</v>
      </c>
      <c r="J69" s="123">
        <v>6.3691966244290086</v>
      </c>
      <c r="K69" s="123">
        <v>6.8079463448576689</v>
      </c>
      <c r="L69" s="123">
        <v>6.3882680096742632</v>
      </c>
      <c r="M69" s="123">
        <v>6.5652062005297012</v>
      </c>
      <c r="N69" s="123">
        <v>6.5528517089766183</v>
      </c>
      <c r="O69" s="123">
        <v>5.4595443244751323</v>
      </c>
      <c r="P69" s="123">
        <v>4.6491043052239007</v>
      </c>
      <c r="Q69" s="123">
        <v>4.277066814277859</v>
      </c>
      <c r="R69" s="123">
        <v>4.1150024920242601</v>
      </c>
      <c r="S69" s="123">
        <v>2.0787143764832337</v>
      </c>
      <c r="T69" s="123">
        <v>2.2709673176328806</v>
      </c>
      <c r="U69" s="123">
        <v>1.9101144489560369</v>
      </c>
      <c r="V69" s="123">
        <v>1.7082760263021015</v>
      </c>
      <c r="W69" s="123">
        <v>3.7719706768671131</v>
      </c>
      <c r="X69" s="123">
        <v>4.1661326462784132</v>
      </c>
      <c r="Y69" s="123">
        <v>4.6958842276705326</v>
      </c>
      <c r="Z69" s="123">
        <v>5.0526094477202577</v>
      </c>
      <c r="AA69" s="123">
        <v>4.5826248671163086</v>
      </c>
      <c r="AB69" s="123">
        <v>5.4603666522197329</v>
      </c>
      <c r="AC69" s="123">
        <v>5.3844543626706951</v>
      </c>
      <c r="AD69" s="123">
        <v>5.5007459563706504</v>
      </c>
      <c r="AE69" s="123">
        <v>7.3352710203532041</v>
      </c>
      <c r="AF69" s="123">
        <v>6.3183508864318867</v>
      </c>
      <c r="AG69" s="123">
        <v>6.0605905503584836</v>
      </c>
      <c r="AH69" s="123">
        <v>5.6338665764155564</v>
      </c>
      <c r="AI69" s="123">
        <v>4.5212009872589931</v>
      </c>
      <c r="AJ69" s="123">
        <v>4.9526861509937845</v>
      </c>
      <c r="AK69" s="123">
        <v>4.7303280950851843</v>
      </c>
      <c r="AL69" s="123">
        <v>4.6268973483039701</v>
      </c>
      <c r="AM69" s="123">
        <v>4.1251975495308955</v>
      </c>
      <c r="AN69" s="123">
        <v>3.9301899209654607</v>
      </c>
      <c r="AO69" s="123">
        <v>4.0195213479740062</v>
      </c>
      <c r="AP69" s="123">
        <v>4.2490818199372455</v>
      </c>
      <c r="AQ69" s="123">
        <v>3.5759889913269802</v>
      </c>
      <c r="AR69" s="123">
        <v>3.3828563834793783</v>
      </c>
      <c r="AS69" s="123">
        <v>3.5493155825632385</v>
      </c>
      <c r="AT69" s="123">
        <v>3.0925153980287519</v>
      </c>
      <c r="AU69" s="123">
        <v>2.5616367398738475</v>
      </c>
      <c r="AV69" s="123">
        <v>1.9080890389852101</v>
      </c>
      <c r="AW69" s="123">
        <v>1.5211641780876306</v>
      </c>
      <c r="AX69" s="123">
        <v>1.5836286984154668</v>
      </c>
      <c r="AY69" s="123">
        <v>0.89320573263039194</v>
      </c>
      <c r="AZ69" s="123">
        <v>1.7634424596905518</v>
      </c>
      <c r="BA69" s="123">
        <v>2.0951755909001832</v>
      </c>
      <c r="BB69" s="123">
        <v>2.0538143670531923</v>
      </c>
      <c r="BC69" s="123">
        <v>3.3622678737503975</v>
      </c>
      <c r="BD69" s="123">
        <v>3.4278711898008822</v>
      </c>
      <c r="BE69" s="123">
        <v>3.3473932254392622</v>
      </c>
      <c r="BF69" s="123">
        <v>3.2364963631430328</v>
      </c>
      <c r="BG69" s="123">
        <v>2.9213403565070166</v>
      </c>
      <c r="BH69" s="123">
        <v>3.2797885983052879</v>
      </c>
      <c r="BI69" s="123">
        <v>3.636678649536691</v>
      </c>
      <c r="BJ69" s="123">
        <v>4.0705551589474993</v>
      </c>
      <c r="BK69" s="123">
        <v>4.8499953572319328</v>
      </c>
      <c r="BL69" s="123">
        <v>-6.3254090313163545</v>
      </c>
      <c r="BM69" s="123">
        <v>-7.1442499884311843</v>
      </c>
      <c r="BN69" s="123">
        <v>-5.0072670629334226</v>
      </c>
      <c r="BO69" s="123">
        <v>1.858155294397875</v>
      </c>
      <c r="BP69" s="123">
        <v>12.485032553548493</v>
      </c>
      <c r="BQ69" s="123">
        <v>14.963865353754528</v>
      </c>
      <c r="BR69" s="123">
        <v>14.724089489311282</v>
      </c>
      <c r="BS69" s="123">
        <v>12.264727858975007</v>
      </c>
      <c r="BT69" s="123">
        <v>14.448834329067964</v>
      </c>
      <c r="BU69" s="123">
        <v>13.206971455503933</v>
      </c>
      <c r="BV69" s="123">
        <v>10.789757758978993</v>
      </c>
      <c r="BW69" s="123">
        <v>2.9277544964380695</v>
      </c>
      <c r="BX69" s="123">
        <v>1.8145782774400487</v>
      </c>
      <c r="BY69" s="123">
        <v>1.0305609167679677</v>
      </c>
      <c r="BZ69" s="123">
        <v>0.51322260068774028</v>
      </c>
      <c r="CA69" s="123">
        <v>0.4251518383750863</v>
      </c>
      <c r="CB69" s="123">
        <v>0.7733812633264705</v>
      </c>
      <c r="CC69" s="123">
        <v>1.1685148111505441</v>
      </c>
      <c r="CD69" s="123">
        <v>1.6401564432128026</v>
      </c>
      <c r="CE69" s="123">
        <v>3.7790175695662214</v>
      </c>
      <c r="CF69" s="123">
        <v>3.7025396477006609</v>
      </c>
      <c r="CG69" s="123">
        <v>3.8301454293416839</v>
      </c>
      <c r="CH69" s="124">
        <v>3.6317462255631057</v>
      </c>
    </row>
    <row r="70" spans="1:86" x14ac:dyDescent="0.2">
      <c r="A70" s="100" t="s">
        <v>62</v>
      </c>
      <c r="B70" s="101" t="s">
        <v>63</v>
      </c>
      <c r="C70" s="125"/>
      <c r="D70" s="125"/>
      <c r="E70" s="125"/>
      <c r="F70" s="125"/>
      <c r="G70" s="126">
        <v>4.5449980531530514</v>
      </c>
      <c r="H70" s="126">
        <v>3.1063409002771323</v>
      </c>
      <c r="I70" s="126">
        <v>3.8187232121465513</v>
      </c>
      <c r="J70" s="126">
        <v>5.2134991119005463</v>
      </c>
      <c r="K70" s="126">
        <v>0.72734297034153883</v>
      </c>
      <c r="L70" s="126">
        <v>1.5762398613158695</v>
      </c>
      <c r="M70" s="126">
        <v>3.2271585666877201</v>
      </c>
      <c r="N70" s="126">
        <v>4.5689049754200397</v>
      </c>
      <c r="O70" s="126">
        <v>5.9141223617262426</v>
      </c>
      <c r="P70" s="126">
        <v>7.6437044382224144</v>
      </c>
      <c r="Q70" s="126">
        <v>5.9161986925631425</v>
      </c>
      <c r="R70" s="126">
        <v>4.6973278055458536</v>
      </c>
      <c r="S70" s="126">
        <v>4.1770545330469702</v>
      </c>
      <c r="T70" s="126">
        <v>3.701241993466482</v>
      </c>
      <c r="U70" s="126">
        <v>4.5325215353422266</v>
      </c>
      <c r="V70" s="126">
        <v>4.7629033849797793</v>
      </c>
      <c r="W70" s="126">
        <v>4.9962104121317452</v>
      </c>
      <c r="X70" s="126">
        <v>5.2895296634950313</v>
      </c>
      <c r="Y70" s="126">
        <v>4.8942255269772659</v>
      </c>
      <c r="Z70" s="126">
        <v>5.2257874595231186</v>
      </c>
      <c r="AA70" s="126">
        <v>4.9194479662664179</v>
      </c>
      <c r="AB70" s="126">
        <v>6.0461445277032198</v>
      </c>
      <c r="AC70" s="126">
        <v>6.3569755160765737</v>
      </c>
      <c r="AD70" s="126">
        <v>6.4769535490079733</v>
      </c>
      <c r="AE70" s="126">
        <v>4.2281990922705006</v>
      </c>
      <c r="AF70" s="126">
        <v>4.1732581920003184</v>
      </c>
      <c r="AG70" s="126">
        <v>3.9634878361316481</v>
      </c>
      <c r="AH70" s="126">
        <v>4.8070960893737293</v>
      </c>
      <c r="AI70" s="126">
        <v>6.6135354192234104</v>
      </c>
      <c r="AJ70" s="126">
        <v>7.8497231255164621</v>
      </c>
      <c r="AK70" s="126">
        <v>8.532798448534578</v>
      </c>
      <c r="AL70" s="126">
        <v>8.8954625219353574</v>
      </c>
      <c r="AM70" s="126">
        <v>8.7493074608117922</v>
      </c>
      <c r="AN70" s="126">
        <v>6.8915074898910973</v>
      </c>
      <c r="AO70" s="126">
        <v>5.7830058372152564</v>
      </c>
      <c r="AP70" s="126">
        <v>4.6760469998894649</v>
      </c>
      <c r="AQ70" s="126">
        <v>6.5179793769572143</v>
      </c>
      <c r="AR70" s="126">
        <v>8.5530149030777807</v>
      </c>
      <c r="AS70" s="126">
        <v>10.173779459869593</v>
      </c>
      <c r="AT70" s="126">
        <v>4.8507134437074484</v>
      </c>
      <c r="AU70" s="126">
        <v>-2.1401538502000506</v>
      </c>
      <c r="AV70" s="126">
        <v>0.29852456444096731</v>
      </c>
      <c r="AW70" s="126">
        <v>-0.87341739524927675</v>
      </c>
      <c r="AX70" s="126">
        <v>1.8240091284357618</v>
      </c>
      <c r="AY70" s="126">
        <v>2.4456562121223868</v>
      </c>
      <c r="AZ70" s="126">
        <v>2.8886774758097431</v>
      </c>
      <c r="BA70" s="126">
        <v>3.3025575974158272</v>
      </c>
      <c r="BB70" s="126">
        <v>3.6428206522634667</v>
      </c>
      <c r="BC70" s="126">
        <v>5.3249624592492495</v>
      </c>
      <c r="BD70" s="126">
        <v>6.7005237275838709</v>
      </c>
      <c r="BE70" s="126">
        <v>7.1887641804704998</v>
      </c>
      <c r="BF70" s="126">
        <v>7.3515498914797632</v>
      </c>
      <c r="BG70" s="126">
        <v>5.6659911986773608</v>
      </c>
      <c r="BH70" s="126">
        <v>6.3079662612804128</v>
      </c>
      <c r="BI70" s="126">
        <v>6.0689441026075883</v>
      </c>
      <c r="BJ70" s="126">
        <v>5.2743834703399273</v>
      </c>
      <c r="BK70" s="126">
        <v>-1.2135190860690841</v>
      </c>
      <c r="BL70" s="126">
        <v>-1.2664281451110071</v>
      </c>
      <c r="BM70" s="126">
        <v>-1.4077807201499581</v>
      </c>
      <c r="BN70" s="126">
        <v>-0.76045359896448872</v>
      </c>
      <c r="BO70" s="126">
        <v>11.748620836815491</v>
      </c>
      <c r="BP70" s="126">
        <v>10.182373794031221</v>
      </c>
      <c r="BQ70" s="126">
        <v>11.311131797437724</v>
      </c>
      <c r="BR70" s="126">
        <v>9.8184602079803796</v>
      </c>
      <c r="BS70" s="126">
        <v>7.9339252342127224</v>
      </c>
      <c r="BT70" s="126">
        <v>8.9313990667988463</v>
      </c>
      <c r="BU70" s="126">
        <v>4.9116169160592165</v>
      </c>
      <c r="BV70" s="126">
        <v>0.98759375685828843</v>
      </c>
      <c r="BW70" s="126">
        <v>-3.5985365195157328</v>
      </c>
      <c r="BX70" s="126">
        <v>-2.0260952601229576</v>
      </c>
      <c r="BY70" s="126">
        <v>-0.13376741225501121</v>
      </c>
      <c r="BZ70" s="126">
        <v>1.5506353386342226</v>
      </c>
      <c r="CA70" s="126">
        <v>-2.0166613022719133</v>
      </c>
      <c r="CB70" s="126">
        <v>0.63010069419659942</v>
      </c>
      <c r="CC70" s="126">
        <v>-1.579419183916059</v>
      </c>
      <c r="CD70" s="126">
        <v>0.58724304183081699</v>
      </c>
      <c r="CE70" s="126">
        <v>3.7737859009983339</v>
      </c>
      <c r="CF70" s="126">
        <v>4.0975281505334067</v>
      </c>
      <c r="CG70" s="126">
        <v>7.7522836566699311</v>
      </c>
      <c r="CH70" s="127">
        <v>7.1429569622302154</v>
      </c>
    </row>
    <row r="71" spans="1:86" s="38" customFormat="1" x14ac:dyDescent="0.2">
      <c r="A71" s="104" t="s">
        <v>64</v>
      </c>
      <c r="B71" s="105" t="s">
        <v>65</v>
      </c>
      <c r="C71" s="110"/>
      <c r="D71" s="110"/>
      <c r="E71" s="110"/>
      <c r="F71" s="110"/>
      <c r="G71" s="117">
        <v>19.907411450577015</v>
      </c>
      <c r="H71" s="117">
        <v>16.51907204785725</v>
      </c>
      <c r="I71" s="117">
        <v>20.948751425515937</v>
      </c>
      <c r="J71" s="117">
        <v>16.933809963099606</v>
      </c>
      <c r="K71" s="117">
        <v>21.78896082446559</v>
      </c>
      <c r="L71" s="117">
        <v>20.682686884264839</v>
      </c>
      <c r="M71" s="117">
        <v>17.304943903123203</v>
      </c>
      <c r="N71" s="117">
        <v>15.797051427444416</v>
      </c>
      <c r="O71" s="117">
        <v>8.7137963777181255</v>
      </c>
      <c r="P71" s="117">
        <v>7.2770707745354315</v>
      </c>
      <c r="Q71" s="117">
        <v>8.4327229184142993</v>
      </c>
      <c r="R71" s="117">
        <v>9.0833219784711758</v>
      </c>
      <c r="S71" s="117">
        <v>-2.6238016024692854</v>
      </c>
      <c r="T71" s="117">
        <v>-3.5829927898728045</v>
      </c>
      <c r="U71" s="117">
        <v>-5.4612434978671587</v>
      </c>
      <c r="V71" s="117">
        <v>-6.295573424935597</v>
      </c>
      <c r="W71" s="117">
        <v>3.6104793992338386</v>
      </c>
      <c r="X71" s="117">
        <v>7.4512405542065352</v>
      </c>
      <c r="Y71" s="117">
        <v>8.2487116162138108</v>
      </c>
      <c r="Z71" s="117">
        <v>9.562094879442796</v>
      </c>
      <c r="AA71" s="117">
        <v>19.501491195810999</v>
      </c>
      <c r="AB71" s="117">
        <v>18.128725722494494</v>
      </c>
      <c r="AC71" s="117">
        <v>19.663870534701374</v>
      </c>
      <c r="AD71" s="117">
        <v>18.515927393291392</v>
      </c>
      <c r="AE71" s="117">
        <v>8.2135443255526326</v>
      </c>
      <c r="AF71" s="117">
        <v>9.1550072700812279</v>
      </c>
      <c r="AG71" s="117">
        <v>4.9693387412056182</v>
      </c>
      <c r="AH71" s="117">
        <v>2.8867130354438757</v>
      </c>
      <c r="AI71" s="117">
        <v>3.0397050084558117</v>
      </c>
      <c r="AJ71" s="117">
        <v>4.1594528723264403</v>
      </c>
      <c r="AK71" s="117">
        <v>8.0583647270687777</v>
      </c>
      <c r="AL71" s="117">
        <v>7.8066242181214989</v>
      </c>
      <c r="AM71" s="117">
        <v>15.240720773411766</v>
      </c>
      <c r="AN71" s="117">
        <v>12.187265038885357</v>
      </c>
      <c r="AO71" s="117">
        <v>10.148762033925166</v>
      </c>
      <c r="AP71" s="117">
        <v>11.953560210332668</v>
      </c>
      <c r="AQ71" s="117">
        <v>1.7803084963958327E-2</v>
      </c>
      <c r="AR71" s="117">
        <v>-3.5218522775234078</v>
      </c>
      <c r="AS71" s="117">
        <v>-1.3248623462516207</v>
      </c>
      <c r="AT71" s="117">
        <v>-1.1512248557093585</v>
      </c>
      <c r="AU71" s="117">
        <v>8.5121290289595919</v>
      </c>
      <c r="AV71" s="117">
        <v>3.0073956001060367</v>
      </c>
      <c r="AW71" s="117">
        <v>2.4184411090564026</v>
      </c>
      <c r="AX71" s="117">
        <v>-0.16256762761035759</v>
      </c>
      <c r="AY71" s="117">
        <v>0.7106181445000459</v>
      </c>
      <c r="AZ71" s="117">
        <v>-1.4420799871798948</v>
      </c>
      <c r="BA71" s="117">
        <v>-2.2365364831078409</v>
      </c>
      <c r="BB71" s="117">
        <v>-3.2283736661884603</v>
      </c>
      <c r="BC71" s="117">
        <v>-4.8673684642935484</v>
      </c>
      <c r="BD71" s="117">
        <v>-1.9889594302768643</v>
      </c>
      <c r="BE71" s="117">
        <v>-0.65410308930472638</v>
      </c>
      <c r="BF71" s="117">
        <v>1.5041011102213844</v>
      </c>
      <c r="BG71" s="117">
        <v>8.940020560456972</v>
      </c>
      <c r="BH71" s="117">
        <v>5.4754471299820437</v>
      </c>
      <c r="BI71" s="117">
        <v>5.4499485984385672</v>
      </c>
      <c r="BJ71" s="117">
        <v>2.9524327320796857</v>
      </c>
      <c r="BK71" s="117">
        <v>-10.84365354363608</v>
      </c>
      <c r="BL71" s="117">
        <v>-21.228518771863875</v>
      </c>
      <c r="BM71" s="117">
        <v>-19.943870819975615</v>
      </c>
      <c r="BN71" s="117">
        <v>-20.680621495544855</v>
      </c>
      <c r="BO71" s="117">
        <v>-3.9821698373121706</v>
      </c>
      <c r="BP71" s="117">
        <v>11.684675876740755</v>
      </c>
      <c r="BQ71" s="117">
        <v>10.59462550586116</v>
      </c>
      <c r="BR71" s="117">
        <v>11.56635313929884</v>
      </c>
      <c r="BS71" s="117">
        <v>18.330376927221465</v>
      </c>
      <c r="BT71" s="117">
        <v>12.636248971568165</v>
      </c>
      <c r="BU71" s="117">
        <v>14.023474974153501</v>
      </c>
      <c r="BV71" s="117">
        <v>16.042896508954314</v>
      </c>
      <c r="BW71" s="117">
        <v>-0.40017525248828179</v>
      </c>
      <c r="BX71" s="117">
        <v>-6.6075687077572525</v>
      </c>
      <c r="BY71" s="117">
        <v>-13.908726278353072</v>
      </c>
      <c r="BZ71" s="117">
        <v>-16.102327269793889</v>
      </c>
      <c r="CA71" s="117">
        <v>-11.681392167171538</v>
      </c>
      <c r="CB71" s="117">
        <v>-5.6586400060560891</v>
      </c>
      <c r="CC71" s="117">
        <v>1.8689905117088728</v>
      </c>
      <c r="CD71" s="117">
        <v>2.3929425621672209</v>
      </c>
      <c r="CE71" s="117">
        <v>7.8995244945611773</v>
      </c>
      <c r="CF71" s="117">
        <v>6.5640316445295213</v>
      </c>
      <c r="CG71" s="117">
        <v>4.705895394986598</v>
      </c>
      <c r="CH71" s="118">
        <v>2.0889920449185269</v>
      </c>
    </row>
    <row r="72" spans="1:86" x14ac:dyDescent="0.2">
      <c r="A72" s="100" t="s">
        <v>66</v>
      </c>
      <c r="B72" s="101" t="s">
        <v>67</v>
      </c>
      <c r="C72" s="125"/>
      <c r="D72" s="125"/>
      <c r="E72" s="125"/>
      <c r="F72" s="125"/>
      <c r="G72" s="126">
        <v>11.638125618368505</v>
      </c>
      <c r="H72" s="126">
        <v>13.250261849671105</v>
      </c>
      <c r="I72" s="126">
        <v>17.742476348579743</v>
      </c>
      <c r="J72" s="126">
        <v>18.771672601177585</v>
      </c>
      <c r="K72" s="126">
        <v>28.932454974341084</v>
      </c>
      <c r="L72" s="126">
        <v>28.670423776293035</v>
      </c>
      <c r="M72" s="126">
        <v>25.081398171873587</v>
      </c>
      <c r="N72" s="126">
        <v>19.891251102184768</v>
      </c>
      <c r="O72" s="126">
        <v>-9.6931927231334214</v>
      </c>
      <c r="P72" s="126">
        <v>-3.1531039134498684</v>
      </c>
      <c r="Q72" s="126">
        <v>-2.956817587578584</v>
      </c>
      <c r="R72" s="126">
        <v>-2.7154682814019395</v>
      </c>
      <c r="S72" s="126">
        <v>7.0507811858745413</v>
      </c>
      <c r="T72" s="126">
        <v>4.3293208252330544</v>
      </c>
      <c r="U72" s="126">
        <v>5.1021450370487145</v>
      </c>
      <c r="V72" s="126">
        <v>4.4552708945820854</v>
      </c>
      <c r="W72" s="126">
        <v>-0.49944204980536711</v>
      </c>
      <c r="X72" s="126">
        <v>5.2466687644950838</v>
      </c>
      <c r="Y72" s="126">
        <v>4.8890492820222988</v>
      </c>
      <c r="Z72" s="126">
        <v>7.104717178377868</v>
      </c>
      <c r="AA72" s="126">
        <v>18.105952620820204</v>
      </c>
      <c r="AB72" s="126">
        <v>12.736863352779281</v>
      </c>
      <c r="AC72" s="126">
        <v>13.731183114341647</v>
      </c>
      <c r="AD72" s="126">
        <v>12.21196945693714</v>
      </c>
      <c r="AE72" s="126">
        <v>4.6177297161068509</v>
      </c>
      <c r="AF72" s="126">
        <v>6.3732931968366842</v>
      </c>
      <c r="AG72" s="126">
        <v>4.7809535873033298</v>
      </c>
      <c r="AH72" s="126">
        <v>3.3341362559717425</v>
      </c>
      <c r="AI72" s="126">
        <v>9.7302992893339564</v>
      </c>
      <c r="AJ72" s="126">
        <v>8.0228629587153506</v>
      </c>
      <c r="AK72" s="126">
        <v>6.6385287937676054</v>
      </c>
      <c r="AL72" s="126">
        <v>8.4798332005931059</v>
      </c>
      <c r="AM72" s="126">
        <v>11.963956061316622</v>
      </c>
      <c r="AN72" s="126">
        <v>9.798266490531077</v>
      </c>
      <c r="AO72" s="126">
        <v>11.306127404837738</v>
      </c>
      <c r="AP72" s="126">
        <v>9.2065443823008195</v>
      </c>
      <c r="AQ72" s="126">
        <v>4.8640858377319915</v>
      </c>
      <c r="AR72" s="126">
        <v>5.6141236184297441</v>
      </c>
      <c r="AS72" s="126">
        <v>4.9356090032585769</v>
      </c>
      <c r="AT72" s="126">
        <v>2.8083101493793379</v>
      </c>
      <c r="AU72" s="126">
        <v>-5.6511658056922727</v>
      </c>
      <c r="AV72" s="126">
        <v>-4.1911733910791185</v>
      </c>
      <c r="AW72" s="126">
        <v>-5.034082899418479</v>
      </c>
      <c r="AX72" s="126">
        <v>-2.8900289747202095</v>
      </c>
      <c r="AY72" s="126">
        <v>4.9865981598262721</v>
      </c>
      <c r="AZ72" s="126">
        <v>1.5025056742735217</v>
      </c>
      <c r="BA72" s="126">
        <v>2.7737852460200969</v>
      </c>
      <c r="BB72" s="126">
        <v>1.8542749056986025</v>
      </c>
      <c r="BC72" s="126">
        <v>-2.6650221081260668</v>
      </c>
      <c r="BD72" s="126">
        <v>0.91864302380535889</v>
      </c>
      <c r="BE72" s="126">
        <v>1.0035210743155005</v>
      </c>
      <c r="BF72" s="126">
        <v>1.0368403513109286</v>
      </c>
      <c r="BG72" s="126">
        <v>13.219209300904396</v>
      </c>
      <c r="BH72" s="126">
        <v>6.4737387865779965</v>
      </c>
      <c r="BI72" s="126">
        <v>4.7182518240605305</v>
      </c>
      <c r="BJ72" s="126">
        <v>2.2364676153744085</v>
      </c>
      <c r="BK72" s="126">
        <v>-10.98230439836415</v>
      </c>
      <c r="BL72" s="126">
        <v>-27.91095602584052</v>
      </c>
      <c r="BM72" s="126">
        <v>-27.106223195497009</v>
      </c>
      <c r="BN72" s="126">
        <v>-23.621727660150185</v>
      </c>
      <c r="BO72" s="126">
        <v>5.0135957215592839</v>
      </c>
      <c r="BP72" s="126">
        <v>20.248022850195312</v>
      </c>
      <c r="BQ72" s="126">
        <v>18.191287144484946</v>
      </c>
      <c r="BR72" s="126">
        <v>16.696075158567396</v>
      </c>
      <c r="BS72" s="126">
        <v>13.411499808997689</v>
      </c>
      <c r="BT72" s="126">
        <v>12.141644363851498</v>
      </c>
      <c r="BU72" s="126">
        <v>12.643058019036474</v>
      </c>
      <c r="BV72" s="126">
        <v>11.49804425243741</v>
      </c>
      <c r="BW72" s="126">
        <v>-5.1317244436884835</v>
      </c>
      <c r="BX72" s="126">
        <v>-8.8316507227979315</v>
      </c>
      <c r="BY72" s="126">
        <v>-11.230285709296666</v>
      </c>
      <c r="BZ72" s="126">
        <v>-12.816189753121975</v>
      </c>
      <c r="CA72" s="126">
        <v>-9.8709690829694807</v>
      </c>
      <c r="CB72" s="126">
        <v>-5.2096172645437946</v>
      </c>
      <c r="CC72" s="126">
        <v>-2.7423993845086301</v>
      </c>
      <c r="CD72" s="126">
        <v>0.66963749489514157</v>
      </c>
      <c r="CE72" s="126">
        <v>1.9355908036847751</v>
      </c>
      <c r="CF72" s="126">
        <v>2.025502381296107</v>
      </c>
      <c r="CG72" s="126">
        <v>3.0590119855481817</v>
      </c>
      <c r="CH72" s="127">
        <v>1.3374095131328971</v>
      </c>
    </row>
    <row r="73" spans="1:86" s="38" customFormat="1" x14ac:dyDescent="0.2">
      <c r="A73" s="104" t="s">
        <v>68</v>
      </c>
      <c r="B73" s="105" t="s">
        <v>69</v>
      </c>
      <c r="C73" s="110"/>
      <c r="D73" s="110"/>
      <c r="E73" s="110"/>
      <c r="F73" s="110"/>
      <c r="G73" s="117">
        <v>12.63505758076758</v>
      </c>
      <c r="H73" s="117">
        <v>8.9836024055694566</v>
      </c>
      <c r="I73" s="117">
        <v>8.5381884055575625</v>
      </c>
      <c r="J73" s="117">
        <v>9.5182978723404403</v>
      </c>
      <c r="K73" s="117">
        <v>1.8455467295167836</v>
      </c>
      <c r="L73" s="117">
        <v>1.4696355433105595</v>
      </c>
      <c r="M73" s="117">
        <v>3.8611398153563385</v>
      </c>
      <c r="N73" s="117">
        <v>6.2198874762985099</v>
      </c>
      <c r="O73" s="117">
        <v>13.790024211564685</v>
      </c>
      <c r="P73" s="117">
        <v>12.958572540936558</v>
      </c>
      <c r="Q73" s="117">
        <v>8.2161431321669909</v>
      </c>
      <c r="R73" s="117">
        <v>2.0367552382066947</v>
      </c>
      <c r="S73" s="117">
        <v>-5.719515337211206</v>
      </c>
      <c r="T73" s="117">
        <v>-8.0440634304109437</v>
      </c>
      <c r="U73" s="117">
        <v>-7.7738333417860872</v>
      </c>
      <c r="V73" s="117">
        <v>-5.206301862261455</v>
      </c>
      <c r="W73" s="117">
        <v>-0.85194649618868823</v>
      </c>
      <c r="X73" s="117">
        <v>1.9419241035741663</v>
      </c>
      <c r="Y73" s="117">
        <v>1.914565098873112</v>
      </c>
      <c r="Z73" s="117">
        <v>2.0623651142620787</v>
      </c>
      <c r="AA73" s="117">
        <v>13.341329782054373</v>
      </c>
      <c r="AB73" s="117">
        <v>12.386420596096002</v>
      </c>
      <c r="AC73" s="117">
        <v>12.194454825884478</v>
      </c>
      <c r="AD73" s="117">
        <v>12.257541772477111</v>
      </c>
      <c r="AE73" s="117">
        <v>8.5439493808797522</v>
      </c>
      <c r="AF73" s="117">
        <v>5.3600517906305498</v>
      </c>
      <c r="AG73" s="117">
        <v>5.7632162106994116</v>
      </c>
      <c r="AH73" s="117">
        <v>4.4732765298218311</v>
      </c>
      <c r="AI73" s="117">
        <v>-2.9367238594743412</v>
      </c>
      <c r="AJ73" s="117">
        <v>2.7849924300539612</v>
      </c>
      <c r="AK73" s="117">
        <v>2.1652789179506442</v>
      </c>
      <c r="AL73" s="117">
        <v>4.6768893756845529</v>
      </c>
      <c r="AM73" s="117">
        <v>5.5613578583744356</v>
      </c>
      <c r="AN73" s="117">
        <v>1.1785901215525314</v>
      </c>
      <c r="AO73" s="117">
        <v>1.7837027680757274</v>
      </c>
      <c r="AP73" s="117">
        <v>-0.28895453191779552</v>
      </c>
      <c r="AQ73" s="117">
        <v>0.27169252456641857</v>
      </c>
      <c r="AR73" s="117">
        <v>3.2478516018985033</v>
      </c>
      <c r="AS73" s="117">
        <v>1.1549129765139838</v>
      </c>
      <c r="AT73" s="117">
        <v>1.6580294150885493</v>
      </c>
      <c r="AU73" s="117">
        <v>-1.6914923142269345</v>
      </c>
      <c r="AV73" s="117">
        <v>-3.1517146703008478</v>
      </c>
      <c r="AW73" s="117">
        <v>-1.7870894358142095</v>
      </c>
      <c r="AX73" s="117">
        <v>-0.20883623427772591</v>
      </c>
      <c r="AY73" s="117">
        <v>3.1293425823906773</v>
      </c>
      <c r="AZ73" s="117">
        <v>3.1263114235796365</v>
      </c>
      <c r="BA73" s="117">
        <v>3.3508492177476228</v>
      </c>
      <c r="BB73" s="117">
        <v>2.5693665305992539</v>
      </c>
      <c r="BC73" s="117">
        <v>-2.3173910976528589</v>
      </c>
      <c r="BD73" s="117">
        <v>-1.2292418783167136</v>
      </c>
      <c r="BE73" s="117">
        <v>-0.29088841545443245</v>
      </c>
      <c r="BF73" s="117">
        <v>0.64234845076103397</v>
      </c>
      <c r="BG73" s="117">
        <v>6.9106479949973618</v>
      </c>
      <c r="BH73" s="117">
        <v>6.7986711559958195</v>
      </c>
      <c r="BI73" s="117">
        <v>5.3580713025670264</v>
      </c>
      <c r="BJ73" s="117">
        <v>3.084097741463026</v>
      </c>
      <c r="BK73" s="117">
        <v>-7.0847091192592728</v>
      </c>
      <c r="BL73" s="117">
        <v>-19.445397980811791</v>
      </c>
      <c r="BM73" s="117">
        <v>-22.330759074805485</v>
      </c>
      <c r="BN73" s="117">
        <v>-22.459265241417469</v>
      </c>
      <c r="BO73" s="117">
        <v>-10.127756750301259</v>
      </c>
      <c r="BP73" s="117">
        <v>0.33226511228492939</v>
      </c>
      <c r="BQ73" s="117">
        <v>8.3476396617527087</v>
      </c>
      <c r="BR73" s="117">
        <v>14.634122820552392</v>
      </c>
      <c r="BS73" s="117">
        <v>17.012063733032505</v>
      </c>
      <c r="BT73" s="117">
        <v>20.909195932161964</v>
      </c>
      <c r="BU73" s="117">
        <v>18.425671551714288</v>
      </c>
      <c r="BV73" s="117">
        <v>12.460566496454135</v>
      </c>
      <c r="BW73" s="117">
        <v>3.2341177376706867</v>
      </c>
      <c r="BX73" s="117">
        <v>2.3877098002489845</v>
      </c>
      <c r="BY73" s="117">
        <v>1.7066223399290266</v>
      </c>
      <c r="BZ73" s="117">
        <v>3.1133352782328245</v>
      </c>
      <c r="CA73" s="117">
        <v>-0.23239467360048138</v>
      </c>
      <c r="CB73" s="117">
        <v>6.6432542026234387E-2</v>
      </c>
      <c r="CC73" s="117">
        <v>-0.28488496195483037</v>
      </c>
      <c r="CD73" s="117">
        <v>0.39029344553665624</v>
      </c>
      <c r="CE73" s="117">
        <v>3.2580409868050708</v>
      </c>
      <c r="CF73" s="117">
        <v>1.7882504929670091</v>
      </c>
      <c r="CG73" s="117">
        <v>2.0989800271314323</v>
      </c>
      <c r="CH73" s="118">
        <v>1.8434401125673787</v>
      </c>
    </row>
    <row r="74" spans="1:86" x14ac:dyDescent="0.2">
      <c r="A74" s="92" t="s">
        <v>70</v>
      </c>
      <c r="B74" s="93" t="s">
        <v>71</v>
      </c>
      <c r="C74" s="119"/>
      <c r="D74" s="119"/>
      <c r="E74" s="119"/>
      <c r="F74" s="119"/>
      <c r="G74" s="120">
        <v>15.423618570917967</v>
      </c>
      <c r="H74" s="120">
        <v>16.456616193815265</v>
      </c>
      <c r="I74" s="120">
        <v>18.276500845098198</v>
      </c>
      <c r="J74" s="120">
        <v>17.681811251715203</v>
      </c>
      <c r="K74" s="120">
        <v>15.765295533200458</v>
      </c>
      <c r="L74" s="120">
        <v>13.086447332238976</v>
      </c>
      <c r="M74" s="120">
        <v>12.927646484708106</v>
      </c>
      <c r="N74" s="120">
        <v>13.858029689608628</v>
      </c>
      <c r="O74" s="120">
        <v>16.970581031818853</v>
      </c>
      <c r="P74" s="120">
        <v>13.89533846853746</v>
      </c>
      <c r="Q74" s="120">
        <v>12.285665596533107</v>
      </c>
      <c r="R74" s="120">
        <v>12.511734195579422</v>
      </c>
      <c r="S74" s="120">
        <v>0.2671970833480799</v>
      </c>
      <c r="T74" s="120">
        <v>-3.9800412572605524</v>
      </c>
      <c r="U74" s="120">
        <v>-7.0863361509534144</v>
      </c>
      <c r="V74" s="120">
        <v>-8.6476874325782092</v>
      </c>
      <c r="W74" s="120">
        <v>-0.2576718849800983</v>
      </c>
      <c r="X74" s="120">
        <v>6.2290397528997232</v>
      </c>
      <c r="Y74" s="120">
        <v>9.4788218177870078</v>
      </c>
      <c r="Z74" s="120">
        <v>10.829835324507584</v>
      </c>
      <c r="AA74" s="120">
        <v>19.214571030108687</v>
      </c>
      <c r="AB74" s="120">
        <v>20.92784404053765</v>
      </c>
      <c r="AC74" s="120">
        <v>20.554162648851417</v>
      </c>
      <c r="AD74" s="120">
        <v>20.229077530091374</v>
      </c>
      <c r="AE74" s="120">
        <v>14.615698079482314</v>
      </c>
      <c r="AF74" s="120">
        <v>12.022767878122181</v>
      </c>
      <c r="AG74" s="120">
        <v>11.39677251403468</v>
      </c>
      <c r="AH74" s="120">
        <v>9.3750865435210358</v>
      </c>
      <c r="AI74" s="120">
        <v>6.740081194343972</v>
      </c>
      <c r="AJ74" s="120">
        <v>8.2768196309922075</v>
      </c>
      <c r="AK74" s="120">
        <v>8.3385757623288441</v>
      </c>
      <c r="AL74" s="120">
        <v>8.5240256493033968</v>
      </c>
      <c r="AM74" s="120">
        <v>8.4607985248679682</v>
      </c>
      <c r="AN74" s="120">
        <v>7.7436439678849212</v>
      </c>
      <c r="AO74" s="120">
        <v>6.6071139324807007</v>
      </c>
      <c r="AP74" s="120">
        <v>7.7600135321943782</v>
      </c>
      <c r="AQ74" s="120">
        <v>1.5171606121202217</v>
      </c>
      <c r="AR74" s="120">
        <v>-0.9036720222117367</v>
      </c>
      <c r="AS74" s="120">
        <v>0.83244672994882762</v>
      </c>
      <c r="AT74" s="120">
        <v>-1.0809377148207915</v>
      </c>
      <c r="AU74" s="120">
        <v>-2.1369694220816342</v>
      </c>
      <c r="AV74" s="120">
        <v>-1.8962270011120239</v>
      </c>
      <c r="AW74" s="120">
        <v>-4.2650273993396155</v>
      </c>
      <c r="AX74" s="120">
        <v>-3.5409028727770249</v>
      </c>
      <c r="AY74" s="120">
        <v>2.4592548703409705</v>
      </c>
      <c r="AZ74" s="120">
        <v>2.5122520778061812</v>
      </c>
      <c r="BA74" s="120">
        <v>2.1637644327463477</v>
      </c>
      <c r="BB74" s="120">
        <v>1.0188394533665388</v>
      </c>
      <c r="BC74" s="120">
        <v>-1.3976376030697395</v>
      </c>
      <c r="BD74" s="120">
        <v>1.6380409940545348</v>
      </c>
      <c r="BE74" s="120">
        <v>2.7864822680886192</v>
      </c>
      <c r="BF74" s="120">
        <v>5.8054190650006916</v>
      </c>
      <c r="BG74" s="120">
        <v>11.885350293532099</v>
      </c>
      <c r="BH74" s="120">
        <v>10.447073801807278</v>
      </c>
      <c r="BI74" s="120">
        <v>10.625632343612509</v>
      </c>
      <c r="BJ74" s="120">
        <v>7.3439730804137895</v>
      </c>
      <c r="BK74" s="120">
        <v>-4.3160674068780907</v>
      </c>
      <c r="BL74" s="120">
        <v>-19.454492050498374</v>
      </c>
      <c r="BM74" s="120">
        <v>-21.579154780510862</v>
      </c>
      <c r="BN74" s="120">
        <v>-20.092459826946865</v>
      </c>
      <c r="BO74" s="120">
        <v>-5.2312769217248416</v>
      </c>
      <c r="BP74" s="120">
        <v>16.56910490992027</v>
      </c>
      <c r="BQ74" s="120">
        <v>24.123626392972298</v>
      </c>
      <c r="BR74" s="120">
        <v>26.728666629540939</v>
      </c>
      <c r="BS74" s="120">
        <v>38.833649612532554</v>
      </c>
      <c r="BT74" s="120">
        <v>31.807957847047334</v>
      </c>
      <c r="BU74" s="120">
        <v>28.873162798192197</v>
      </c>
      <c r="BV74" s="120">
        <v>24.003222498901437</v>
      </c>
      <c r="BW74" s="120">
        <v>-1.6411993645822633</v>
      </c>
      <c r="BX74" s="120">
        <v>-4.881008794450409</v>
      </c>
      <c r="BY74" s="120">
        <v>-9.6619286370500816</v>
      </c>
      <c r="BZ74" s="120">
        <v>-10.029885301865164</v>
      </c>
      <c r="CA74" s="120">
        <v>-11.094991418218441</v>
      </c>
      <c r="CB74" s="120">
        <v>-5.4587954633142317</v>
      </c>
      <c r="CC74" s="120">
        <v>-0.99966616527667895</v>
      </c>
      <c r="CD74" s="120">
        <v>1.1636863342348676</v>
      </c>
      <c r="CE74" s="120">
        <v>12.690599525127894</v>
      </c>
      <c r="CF74" s="120">
        <v>11.506930793125861</v>
      </c>
      <c r="CG74" s="120">
        <v>10.958680133547574</v>
      </c>
      <c r="CH74" s="121">
        <v>8.4193133174436809</v>
      </c>
    </row>
    <row r="75" spans="1:86" x14ac:dyDescent="0.2">
      <c r="A75" s="106" t="s">
        <v>42</v>
      </c>
      <c r="B75" s="107" t="s">
        <v>46</v>
      </c>
      <c r="C75" s="128"/>
      <c r="D75" s="128"/>
      <c r="E75" s="128"/>
      <c r="F75" s="128"/>
      <c r="G75" s="129">
        <v>6.3755741455926511</v>
      </c>
      <c r="H75" s="129">
        <v>5.8398307574499881</v>
      </c>
      <c r="I75" s="129">
        <v>6.4635790142163216</v>
      </c>
      <c r="J75" s="129">
        <v>6.7168686984440313</v>
      </c>
      <c r="K75" s="129">
        <v>6.7128663746102148</v>
      </c>
      <c r="L75" s="129">
        <v>6.7880533956449653</v>
      </c>
      <c r="M75" s="129">
        <v>6.8111415154858577</v>
      </c>
      <c r="N75" s="129">
        <v>6.7381946909097508</v>
      </c>
      <c r="O75" s="129">
        <v>5.1743786969130383</v>
      </c>
      <c r="P75" s="129">
        <v>4.9771747033429392</v>
      </c>
      <c r="Q75" s="129">
        <v>4.400739468614546</v>
      </c>
      <c r="R75" s="129">
        <v>3.2834461861654063</v>
      </c>
      <c r="S75" s="129">
        <v>0.14508701496795595</v>
      </c>
      <c r="T75" s="129">
        <v>0.42348682082662492</v>
      </c>
      <c r="U75" s="129">
        <v>0.46095764968984554</v>
      </c>
      <c r="V75" s="129">
        <v>1.1396486454806336</v>
      </c>
      <c r="W75" s="129">
        <v>3.8803501804015781</v>
      </c>
      <c r="X75" s="129">
        <v>4.2578885758638592</v>
      </c>
      <c r="Y75" s="129">
        <v>4.1854153019589688</v>
      </c>
      <c r="Z75" s="129">
        <v>4.4946589707092244</v>
      </c>
      <c r="AA75" s="129">
        <v>6.7991976972209329</v>
      </c>
      <c r="AB75" s="129">
        <v>6.7907430821515931</v>
      </c>
      <c r="AC75" s="129">
        <v>7.1785509222384718</v>
      </c>
      <c r="AD75" s="129">
        <v>6.9478919817355376</v>
      </c>
      <c r="AE75" s="129">
        <v>6.135156113255988</v>
      </c>
      <c r="AF75" s="129">
        <v>5.4789254541778973</v>
      </c>
      <c r="AG75" s="129">
        <v>4.3597382970604883</v>
      </c>
      <c r="AH75" s="129">
        <v>3.9126357671611629</v>
      </c>
      <c r="AI75" s="129">
        <v>2.3818401066837254</v>
      </c>
      <c r="AJ75" s="129">
        <v>3.8955174679819606</v>
      </c>
      <c r="AK75" s="129">
        <v>4.6939145809717502</v>
      </c>
      <c r="AL75" s="129">
        <v>5.1339935199567179</v>
      </c>
      <c r="AM75" s="129">
        <v>6.6000142839710776</v>
      </c>
      <c r="AN75" s="129">
        <v>4.9707735829889259</v>
      </c>
      <c r="AO75" s="129">
        <v>4.7693931868114277</v>
      </c>
      <c r="AP75" s="129">
        <v>4.4990300011096878</v>
      </c>
      <c r="AQ75" s="129">
        <v>2.828076886173946</v>
      </c>
      <c r="AR75" s="129">
        <v>3.1285568693342185</v>
      </c>
      <c r="AS75" s="129">
        <v>3.2819408355032778</v>
      </c>
      <c r="AT75" s="129">
        <v>2.9559013752752321</v>
      </c>
      <c r="AU75" s="129">
        <v>2.3747843586882027</v>
      </c>
      <c r="AV75" s="129">
        <v>2.2466521318059733</v>
      </c>
      <c r="AW75" s="129">
        <v>2.0092354626776796</v>
      </c>
      <c r="AX75" s="129">
        <v>2.0873825016279426</v>
      </c>
      <c r="AY75" s="129">
        <v>1.0694631972319826</v>
      </c>
      <c r="AZ75" s="129">
        <v>1.170940418982866</v>
      </c>
      <c r="BA75" s="129">
        <v>1.3487500644575618</v>
      </c>
      <c r="BB75" s="129">
        <v>1.3593608678874602</v>
      </c>
      <c r="BC75" s="129">
        <v>1.6492417488619253</v>
      </c>
      <c r="BD75" s="129">
        <v>2.2065152411030624</v>
      </c>
      <c r="BE75" s="129">
        <v>2.4382593035617788</v>
      </c>
      <c r="BF75" s="129">
        <v>2.5643242827770365</v>
      </c>
      <c r="BG75" s="129">
        <v>3.4755274143507364</v>
      </c>
      <c r="BH75" s="129">
        <v>3.271449902158821</v>
      </c>
      <c r="BI75" s="129">
        <v>3.2215703792508634</v>
      </c>
      <c r="BJ75" s="129">
        <v>3.1868553924553567</v>
      </c>
      <c r="BK75" s="129">
        <v>0.34608976169481309</v>
      </c>
      <c r="BL75" s="129">
        <v>-8.3304749265752776</v>
      </c>
      <c r="BM75" s="129">
        <v>-8.5890432034410225</v>
      </c>
      <c r="BN75" s="129">
        <v>-7.1859141376086058</v>
      </c>
      <c r="BO75" s="129">
        <v>1.4997003938947273</v>
      </c>
      <c r="BP75" s="129">
        <v>9.3208752575319096</v>
      </c>
      <c r="BQ75" s="129">
        <v>10.693916314077939</v>
      </c>
      <c r="BR75" s="129">
        <v>10.801198190487838</v>
      </c>
      <c r="BS75" s="129">
        <v>8.1051367162309589</v>
      </c>
      <c r="BT75" s="129">
        <v>10.248386551150432</v>
      </c>
      <c r="BU75" s="129">
        <v>9.2485339798360258</v>
      </c>
      <c r="BV75" s="129">
        <v>7.3282772942797862</v>
      </c>
      <c r="BW75" s="129">
        <v>2.8075118927961569</v>
      </c>
      <c r="BX75" s="129">
        <v>1.5817590080784214</v>
      </c>
      <c r="BY75" s="129">
        <v>0.88147833436782719</v>
      </c>
      <c r="BZ75" s="129">
        <v>0.84181955575203915</v>
      </c>
      <c r="CA75" s="129">
        <v>0.31878092683700743</v>
      </c>
      <c r="CB75" s="129">
        <v>0.96497071444711935</v>
      </c>
      <c r="CC75" s="129">
        <v>1.1832539934157182</v>
      </c>
      <c r="CD75" s="129">
        <v>1.4933072877106639</v>
      </c>
      <c r="CE75" s="129">
        <v>2.5930290378729524</v>
      </c>
      <c r="CF75" s="129">
        <v>2.3516140447574969</v>
      </c>
      <c r="CG75" s="129">
        <v>2.777943131897004</v>
      </c>
      <c r="CH75" s="130">
        <v>2.6420088399371053</v>
      </c>
    </row>
    <row r="77" spans="1:86" ht="12" customHeight="1" x14ac:dyDescent="0.2">
      <c r="A77" s="111" t="s">
        <v>72</v>
      </c>
      <c r="B77" s="47"/>
      <c r="C77" s="17"/>
      <c r="D77" s="132"/>
      <c r="E77" s="17"/>
      <c r="F77" s="17"/>
      <c r="G77" s="138"/>
    </row>
    <row r="78" spans="1:86" ht="12" customHeight="1" x14ac:dyDescent="0.2">
      <c r="A78" s="113" t="s">
        <v>48</v>
      </c>
      <c r="B78" s="50"/>
      <c r="G78" s="18"/>
    </row>
    <row r="79" spans="1:86" ht="12" customHeight="1" x14ac:dyDescent="0.2">
      <c r="A79" s="113" t="s">
        <v>49</v>
      </c>
      <c r="B79" s="50"/>
      <c r="G79" s="18"/>
    </row>
    <row r="80" spans="1:86" ht="12" customHeight="1" x14ac:dyDescent="0.2">
      <c r="A80" s="113" t="s">
        <v>73</v>
      </c>
      <c r="B80" s="50"/>
      <c r="G80" s="18"/>
    </row>
    <row r="81" spans="1:61" ht="12" customHeight="1" x14ac:dyDescent="0.2">
      <c r="A81" s="49" t="s">
        <v>74</v>
      </c>
      <c r="B81" s="50"/>
      <c r="G81" s="18"/>
    </row>
    <row r="82" spans="1:61" ht="12" customHeight="1" x14ac:dyDescent="0.2">
      <c r="A82" s="52" t="s">
        <v>50</v>
      </c>
      <c r="B82" s="53"/>
      <c r="C82" s="134"/>
      <c r="D82" s="135"/>
      <c r="E82" s="134"/>
      <c r="F82" s="134"/>
      <c r="G82" s="139"/>
    </row>
    <row r="91" spans="1:61" x14ac:dyDescent="0.2"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  <c r="BG91" s="140"/>
      <c r="BH91" s="140"/>
      <c r="BI91" s="140"/>
    </row>
    <row r="92" spans="1:61" x14ac:dyDescent="0.2"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  <c r="BE92" s="140"/>
      <c r="BF92" s="140"/>
      <c r="BG92" s="140"/>
      <c r="BH92" s="140"/>
      <c r="BI92" s="140"/>
    </row>
    <row r="93" spans="1:61" x14ac:dyDescent="0.2"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40"/>
      <c r="BB93" s="140"/>
      <c r="BC93" s="140"/>
      <c r="BD93" s="140"/>
      <c r="BE93" s="140"/>
      <c r="BF93" s="140"/>
      <c r="BG93" s="140"/>
      <c r="BH93" s="140"/>
      <c r="BI93" s="140"/>
    </row>
    <row r="94" spans="1:61" x14ac:dyDescent="0.2"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40"/>
      <c r="BB94" s="140"/>
      <c r="BC94" s="140"/>
      <c r="BD94" s="140"/>
      <c r="BE94" s="140"/>
      <c r="BF94" s="140"/>
      <c r="BG94" s="140"/>
      <c r="BH94" s="140"/>
      <c r="BI94" s="140"/>
    </row>
    <row r="95" spans="1:61" x14ac:dyDescent="0.2"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40"/>
      <c r="BG95" s="140"/>
      <c r="BH95" s="140"/>
      <c r="BI95" s="140"/>
    </row>
    <row r="96" spans="1:61" x14ac:dyDescent="0.2"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0"/>
      <c r="BD96" s="140"/>
      <c r="BE96" s="140"/>
      <c r="BF96" s="140"/>
      <c r="BG96" s="140"/>
      <c r="BH96" s="140"/>
      <c r="BI96" s="140"/>
    </row>
    <row r="97" spans="7:61" x14ac:dyDescent="0.2"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  <c r="BE97" s="140"/>
      <c r="BF97" s="140"/>
      <c r="BG97" s="140"/>
      <c r="BH97" s="140"/>
      <c r="BI97" s="140"/>
    </row>
    <row r="98" spans="7:61" x14ac:dyDescent="0.2"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  <c r="AQ98" s="140"/>
      <c r="AR98" s="140"/>
      <c r="AS98" s="140"/>
      <c r="AT98" s="140"/>
      <c r="AU98" s="140"/>
      <c r="AV98" s="140"/>
      <c r="AW98" s="140"/>
      <c r="AX98" s="140"/>
      <c r="AY98" s="140"/>
      <c r="AZ98" s="140"/>
      <c r="BA98" s="140"/>
      <c r="BB98" s="140"/>
      <c r="BC98" s="140"/>
      <c r="BD98" s="140"/>
      <c r="BE98" s="140"/>
      <c r="BF98" s="140"/>
      <c r="BG98" s="140"/>
      <c r="BH98" s="140"/>
      <c r="BI98" s="140"/>
    </row>
    <row r="99" spans="7:61" x14ac:dyDescent="0.2"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  <c r="AQ99" s="140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0"/>
      <c r="BC99" s="140"/>
      <c r="BD99" s="140"/>
      <c r="BE99" s="140"/>
      <c r="BF99" s="140"/>
      <c r="BG99" s="140"/>
      <c r="BH99" s="140"/>
      <c r="BI99" s="140"/>
    </row>
    <row r="101" spans="7:61" x14ac:dyDescent="0.2"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  <c r="BG101" s="140"/>
      <c r="BH101" s="140"/>
      <c r="BI101" s="140"/>
    </row>
    <row r="102" spans="7:61" x14ac:dyDescent="0.2"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/>
      <c r="AZ102" s="140"/>
      <c r="BA102" s="140"/>
      <c r="BB102" s="140"/>
      <c r="BC102" s="140"/>
      <c r="BD102" s="140"/>
      <c r="BE102" s="140"/>
      <c r="BF102" s="140"/>
      <c r="BG102" s="140"/>
      <c r="BH102" s="140"/>
      <c r="BI102" s="140"/>
    </row>
    <row r="103" spans="7:61" x14ac:dyDescent="0.2"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  <c r="BE103" s="140"/>
      <c r="BF103" s="140"/>
      <c r="BG103" s="140"/>
      <c r="BH103" s="140"/>
      <c r="BI103" s="140"/>
    </row>
    <row r="104" spans="7:61" x14ac:dyDescent="0.2"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  <c r="BG104" s="140"/>
      <c r="BH104" s="140"/>
      <c r="BI104" s="140"/>
    </row>
    <row r="105" spans="7:61" x14ac:dyDescent="0.2"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140"/>
      <c r="BH105" s="140"/>
      <c r="BI105" s="140"/>
    </row>
    <row r="106" spans="7:61" x14ac:dyDescent="0.2"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  <c r="BG106" s="140"/>
      <c r="BH106" s="140"/>
      <c r="BI106" s="140"/>
    </row>
    <row r="107" spans="7:61" x14ac:dyDescent="0.2"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  <c r="BE107" s="140"/>
      <c r="BF107" s="140"/>
      <c r="BG107" s="140"/>
      <c r="BH107" s="140"/>
      <c r="BI107" s="140"/>
    </row>
    <row r="108" spans="7:61" x14ac:dyDescent="0.2"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  <c r="AQ108" s="140"/>
      <c r="AR108" s="140"/>
      <c r="AS108" s="140"/>
      <c r="AT108" s="140"/>
      <c r="AU108" s="140"/>
      <c r="AV108" s="140"/>
      <c r="AW108" s="140"/>
      <c r="AX108" s="140"/>
      <c r="AY108" s="140"/>
      <c r="AZ108" s="140"/>
      <c r="BA108" s="140"/>
      <c r="BB108" s="140"/>
      <c r="BC108" s="140"/>
      <c r="BD108" s="140"/>
      <c r="BE108" s="140"/>
      <c r="BF108" s="140"/>
      <c r="BG108" s="140"/>
      <c r="BH108" s="140"/>
      <c r="BI108" s="140"/>
    </row>
    <row r="109" spans="7:61" x14ac:dyDescent="0.2"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  <c r="AQ109" s="140"/>
      <c r="AR109" s="140"/>
      <c r="AS109" s="140"/>
      <c r="AT109" s="140"/>
      <c r="AU109" s="140"/>
      <c r="AV109" s="140"/>
      <c r="AW109" s="140"/>
      <c r="AX109" s="140"/>
      <c r="AY109" s="140"/>
      <c r="AZ109" s="140"/>
      <c r="BA109" s="140"/>
      <c r="BB109" s="140"/>
      <c r="BC109" s="140"/>
      <c r="BD109" s="140"/>
      <c r="BE109" s="140"/>
      <c r="BF109" s="140"/>
      <c r="BG109" s="140"/>
      <c r="BH109" s="140"/>
      <c r="BI109" s="140"/>
    </row>
    <row r="112" spans="7:61" x14ac:dyDescent="0.2"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  <c r="AH112" s="141"/>
      <c r="AI112" s="141"/>
      <c r="AJ112" s="141"/>
      <c r="AK112" s="141"/>
      <c r="AL112" s="141"/>
      <c r="AM112" s="141"/>
      <c r="AN112" s="141"/>
      <c r="AO112" s="141"/>
      <c r="AP112" s="141"/>
      <c r="AQ112" s="141"/>
      <c r="AR112" s="141"/>
      <c r="AS112" s="141"/>
      <c r="AT112" s="141"/>
      <c r="AU112" s="141"/>
      <c r="AV112" s="141"/>
      <c r="AW112" s="141"/>
      <c r="AX112" s="141"/>
      <c r="AY112" s="141"/>
      <c r="AZ112" s="141"/>
      <c r="BA112" s="141"/>
      <c r="BB112" s="141"/>
      <c r="BC112" s="141"/>
      <c r="BD112" s="141"/>
      <c r="BE112" s="141"/>
      <c r="BF112" s="141"/>
      <c r="BG112" s="141"/>
      <c r="BH112" s="141"/>
      <c r="BI112" s="141"/>
    </row>
    <row r="113" spans="7:61" x14ac:dyDescent="0.2"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41"/>
      <c r="AK113" s="141"/>
      <c r="AL113" s="141"/>
      <c r="AM113" s="141"/>
      <c r="AN113" s="141"/>
      <c r="AO113" s="141"/>
      <c r="AP113" s="141"/>
      <c r="AQ113" s="141"/>
      <c r="AR113" s="141"/>
      <c r="AS113" s="141"/>
      <c r="AT113" s="141"/>
      <c r="AU113" s="141"/>
      <c r="AV113" s="141"/>
      <c r="AW113" s="141"/>
      <c r="AX113" s="141"/>
      <c r="AY113" s="141"/>
      <c r="AZ113" s="141"/>
      <c r="BA113" s="141"/>
      <c r="BB113" s="141"/>
      <c r="BC113" s="141"/>
      <c r="BD113" s="141"/>
      <c r="BE113" s="141"/>
      <c r="BF113" s="141"/>
      <c r="BG113" s="141"/>
      <c r="BH113" s="141"/>
      <c r="BI113" s="141"/>
    </row>
    <row r="114" spans="7:61" x14ac:dyDescent="0.2"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1"/>
      <c r="AM114" s="141"/>
      <c r="AN114" s="141"/>
      <c r="AO114" s="141"/>
      <c r="AP114" s="141"/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A114" s="141"/>
      <c r="BB114" s="141"/>
      <c r="BC114" s="141"/>
      <c r="BD114" s="141"/>
      <c r="BE114" s="141"/>
      <c r="BF114" s="141"/>
      <c r="BG114" s="141"/>
      <c r="BH114" s="141"/>
      <c r="BI114" s="141"/>
    </row>
    <row r="115" spans="7:61" x14ac:dyDescent="0.2"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  <c r="AE115" s="141"/>
      <c r="AF115" s="141"/>
      <c r="AG115" s="141"/>
      <c r="AH115" s="141"/>
      <c r="AI115" s="141"/>
      <c r="AJ115" s="141"/>
      <c r="AK115" s="141"/>
      <c r="AL115" s="141"/>
      <c r="AM115" s="141"/>
      <c r="AN115" s="141"/>
      <c r="AO115" s="141"/>
      <c r="AP115" s="141"/>
      <c r="AQ115" s="141"/>
      <c r="AR115" s="141"/>
      <c r="AS115" s="141"/>
      <c r="AT115" s="141"/>
      <c r="AU115" s="141"/>
      <c r="AV115" s="141"/>
      <c r="AW115" s="141"/>
      <c r="AX115" s="141"/>
      <c r="AY115" s="141"/>
      <c r="AZ115" s="141"/>
      <c r="BA115" s="141"/>
      <c r="BB115" s="141"/>
      <c r="BC115" s="141"/>
      <c r="BD115" s="141"/>
      <c r="BE115" s="141"/>
      <c r="BF115" s="141"/>
      <c r="BG115" s="141"/>
      <c r="BH115" s="141"/>
      <c r="BI115" s="141"/>
    </row>
    <row r="116" spans="7:61" x14ac:dyDescent="0.2"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A116" s="141"/>
      <c r="BB116" s="141"/>
      <c r="BC116" s="141"/>
      <c r="BD116" s="141"/>
      <c r="BE116" s="141"/>
      <c r="BF116" s="141"/>
      <c r="BG116" s="141"/>
      <c r="BH116" s="141"/>
      <c r="BI116" s="141"/>
    </row>
    <row r="117" spans="7:61" x14ac:dyDescent="0.2"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  <c r="AE117" s="141"/>
      <c r="AF117" s="141"/>
      <c r="AG117" s="141"/>
      <c r="AH117" s="141"/>
      <c r="AI117" s="141"/>
      <c r="AJ117" s="141"/>
      <c r="AK117" s="141"/>
      <c r="AL117" s="141"/>
      <c r="AM117" s="141"/>
      <c r="AN117" s="141"/>
      <c r="AO117" s="141"/>
      <c r="AP117" s="141"/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A117" s="141"/>
      <c r="BB117" s="141"/>
      <c r="BC117" s="141"/>
      <c r="BD117" s="141"/>
      <c r="BE117" s="141"/>
      <c r="BF117" s="141"/>
      <c r="BG117" s="141"/>
      <c r="BH117" s="141"/>
      <c r="BI117" s="141"/>
    </row>
    <row r="118" spans="7:61" x14ac:dyDescent="0.2"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A118" s="141"/>
      <c r="BB118" s="141"/>
      <c r="BC118" s="141"/>
      <c r="BD118" s="141"/>
      <c r="BE118" s="141"/>
      <c r="BF118" s="141"/>
      <c r="BG118" s="141"/>
      <c r="BH118" s="141"/>
      <c r="BI118" s="141"/>
    </row>
    <row r="119" spans="7:61" x14ac:dyDescent="0.2"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41"/>
      <c r="AF119" s="141"/>
      <c r="AG119" s="141"/>
      <c r="AH119" s="141"/>
      <c r="AI119" s="141"/>
      <c r="AJ119" s="141"/>
      <c r="AK119" s="141"/>
      <c r="AL119" s="141"/>
      <c r="AM119" s="141"/>
      <c r="AN119" s="141"/>
      <c r="AO119" s="141"/>
      <c r="AP119" s="141"/>
      <c r="AQ119" s="141"/>
      <c r="AR119" s="141"/>
      <c r="AS119" s="141"/>
      <c r="AT119" s="141"/>
      <c r="AU119" s="141"/>
      <c r="AV119" s="141"/>
      <c r="AW119" s="141"/>
      <c r="AX119" s="141"/>
      <c r="AY119" s="141"/>
      <c r="AZ119" s="141"/>
      <c r="BA119" s="141"/>
      <c r="BB119" s="141"/>
      <c r="BC119" s="141"/>
      <c r="BD119" s="141"/>
      <c r="BE119" s="141"/>
      <c r="BF119" s="141"/>
      <c r="BG119" s="141"/>
      <c r="BH119" s="141"/>
      <c r="BI119" s="141"/>
    </row>
    <row r="120" spans="7:61" x14ac:dyDescent="0.2"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1"/>
      <c r="AM120" s="141"/>
      <c r="AN120" s="141"/>
      <c r="AO120" s="141"/>
      <c r="AP120" s="141"/>
      <c r="AQ120" s="141"/>
      <c r="AR120" s="141"/>
      <c r="AS120" s="141"/>
      <c r="AT120" s="141"/>
      <c r="AU120" s="141"/>
      <c r="AV120" s="141"/>
      <c r="AW120" s="141"/>
      <c r="AX120" s="141"/>
      <c r="AY120" s="141"/>
      <c r="AZ120" s="141"/>
      <c r="BA120" s="141"/>
      <c r="BB120" s="141"/>
      <c r="BC120" s="141"/>
      <c r="BD120" s="141"/>
      <c r="BE120" s="141"/>
      <c r="BF120" s="141"/>
      <c r="BG120" s="141"/>
      <c r="BH120" s="141"/>
      <c r="BI120" s="141"/>
    </row>
    <row r="122" spans="7:61" x14ac:dyDescent="0.2"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</row>
    <row r="123" spans="7:61" x14ac:dyDescent="0.2"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</row>
    <row r="124" spans="7:61" x14ac:dyDescent="0.2"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</row>
    <row r="125" spans="7:61" x14ac:dyDescent="0.2"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</row>
    <row r="126" spans="7:61" x14ac:dyDescent="0.2"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</row>
    <row r="127" spans="7:61" x14ac:dyDescent="0.2"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</row>
    <row r="128" spans="7:61" x14ac:dyDescent="0.2"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</row>
    <row r="129" spans="7:61" x14ac:dyDescent="0.2"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</row>
    <row r="130" spans="7:61" x14ac:dyDescent="0.2"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</row>
    <row r="131" spans="7:61" x14ac:dyDescent="0.2">
      <c r="G131" s="78"/>
    </row>
  </sheetData>
  <mergeCells count="73">
    <mergeCell ref="BO64:BR64"/>
    <mergeCell ref="BS64:BV64"/>
    <mergeCell ref="BW64:BZ64"/>
    <mergeCell ref="CA64:CD64"/>
    <mergeCell ref="CE64:CH64"/>
    <mergeCell ref="BK64:BN64"/>
    <mergeCell ref="S64:V64"/>
    <mergeCell ref="W64:Z64"/>
    <mergeCell ref="AA64:AD64"/>
    <mergeCell ref="AE64:AH64"/>
    <mergeCell ref="AI64:AL64"/>
    <mergeCell ref="AM64:AP64"/>
    <mergeCell ref="AQ64:AT64"/>
    <mergeCell ref="AU64:AX64"/>
    <mergeCell ref="AY64:BB64"/>
    <mergeCell ref="BC64:BF64"/>
    <mergeCell ref="BG64:BJ64"/>
    <mergeCell ref="BW37:BZ37"/>
    <mergeCell ref="CA37:CD37"/>
    <mergeCell ref="CE37:CH37"/>
    <mergeCell ref="A58:G59"/>
    <mergeCell ref="A64:A65"/>
    <mergeCell ref="B64:B65"/>
    <mergeCell ref="C64:F64"/>
    <mergeCell ref="G64:J64"/>
    <mergeCell ref="K64:N64"/>
    <mergeCell ref="O64:R64"/>
    <mergeCell ref="AY37:BB37"/>
    <mergeCell ref="BC37:BF37"/>
    <mergeCell ref="BG37:BJ37"/>
    <mergeCell ref="BK37:BN37"/>
    <mergeCell ref="BO37:BR37"/>
    <mergeCell ref="BS37:BV37"/>
    <mergeCell ref="AA37:AD37"/>
    <mergeCell ref="AE37:AH37"/>
    <mergeCell ref="AI37:AL37"/>
    <mergeCell ref="AM37:AP37"/>
    <mergeCell ref="AQ37:AT37"/>
    <mergeCell ref="AU37:AX37"/>
    <mergeCell ref="CE10:CH10"/>
    <mergeCell ref="A31:G32"/>
    <mergeCell ref="A37:A38"/>
    <mergeCell ref="B37:B38"/>
    <mergeCell ref="C37:F37"/>
    <mergeCell ref="G37:J37"/>
    <mergeCell ref="K37:N37"/>
    <mergeCell ref="O37:R37"/>
    <mergeCell ref="S37:V37"/>
    <mergeCell ref="W37:Z37"/>
    <mergeCell ref="BG10:BJ10"/>
    <mergeCell ref="BK10:BN10"/>
    <mergeCell ref="BO10:BR10"/>
    <mergeCell ref="BS10:BV10"/>
    <mergeCell ref="BW10:BZ10"/>
    <mergeCell ref="CA10:CD10"/>
    <mergeCell ref="AI10:AL10"/>
    <mergeCell ref="AM10:AP10"/>
    <mergeCell ref="AQ10:AT10"/>
    <mergeCell ref="AU10:AX10"/>
    <mergeCell ref="AY10:BB10"/>
    <mergeCell ref="BC10:BF10"/>
    <mergeCell ref="AE10:AH10"/>
    <mergeCell ref="A1:G1"/>
    <mergeCell ref="A3:G4"/>
    <mergeCell ref="A10:A11"/>
    <mergeCell ref="B10:B11"/>
    <mergeCell ref="C10:F10"/>
    <mergeCell ref="G10:J10"/>
    <mergeCell ref="K10:N10"/>
    <mergeCell ref="O10:R10"/>
    <mergeCell ref="S10:V10"/>
    <mergeCell ref="W10:Z10"/>
    <mergeCell ref="AA10:AD10"/>
  </mergeCells>
  <hyperlinks>
    <hyperlink ref="I5" location="Índice!A1" display="Índice" xr:uid="{744DE0E9-8A4E-4645-96E5-306139F6F179}"/>
    <hyperlink ref="I6" location="'Cuadro 1'!A31" display="Tasa de crecimiento anual" xr:uid="{CBAF1516-DE17-41CF-B9B2-9B82A745A281}"/>
    <hyperlink ref="I7" location="'Cuadro 1'!A58" display="Tasa de crecimiento año corrido" xr:uid="{55E7CEE9-ED39-47D8-BA08-AF942BADBFCF}"/>
  </hyperlinks>
  <pageMargins left="0.7" right="0.7" top="0.75" bottom="0.75" header="0.3" footer="0.3"/>
  <pageSetup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DBF7-3CB8-3B4E-8425-15D0BF39C119}">
  <dimension ref="A1:AG20"/>
  <sheetViews>
    <sheetView tabSelected="1" zoomScale="90" zoomScaleNormal="85" workbookViewId="0">
      <selection activeCell="AB8" sqref="AB8"/>
    </sheetView>
  </sheetViews>
  <sheetFormatPr baseColWidth="10" defaultRowHeight="15" x14ac:dyDescent="0.2"/>
  <cols>
    <col min="1" max="1" width="36.33203125" customWidth="1"/>
    <col min="2" max="2" width="54.5" customWidth="1"/>
    <col min="3" max="3" width="11.1640625" bestFit="1" customWidth="1"/>
    <col min="4" max="4" width="12.6640625" bestFit="1" customWidth="1"/>
    <col min="5" max="20" width="11.1640625" bestFit="1" customWidth="1"/>
    <col min="24" max="24" width="16.33203125" bestFit="1" customWidth="1"/>
    <col min="25" max="25" width="21.5" customWidth="1"/>
  </cols>
  <sheetData>
    <row r="1" spans="1:33" ht="40" customHeight="1" x14ac:dyDescent="0.2">
      <c r="A1" s="182" t="s">
        <v>80</v>
      </c>
      <c r="B1" s="182"/>
    </row>
    <row r="2" spans="1:33" ht="40" customHeight="1" thickBot="1" x14ac:dyDescent="0.25">
      <c r="A2" s="182"/>
      <c r="B2" s="182"/>
    </row>
    <row r="3" spans="1:33" ht="40" customHeight="1" x14ac:dyDescent="0.2">
      <c r="B3" s="142"/>
      <c r="X3" s="183" t="s">
        <v>77</v>
      </c>
      <c r="Y3" s="184"/>
      <c r="Z3" s="184"/>
      <c r="AA3" s="184"/>
      <c r="AB3" s="185"/>
    </row>
    <row r="4" spans="1:33" ht="40" customHeight="1" thickBot="1" x14ac:dyDescent="0.25">
      <c r="B4" s="142"/>
      <c r="X4" s="186"/>
      <c r="Y4" s="187"/>
      <c r="Z4" s="187"/>
      <c r="AA4" s="187"/>
      <c r="AB4" s="188"/>
    </row>
    <row r="5" spans="1:33" s="144" customFormat="1" ht="40" customHeight="1" thickBot="1" x14ac:dyDescent="0.3">
      <c r="A5" s="212"/>
      <c r="B5" s="211" t="s">
        <v>10</v>
      </c>
      <c r="C5" s="160">
        <v>2005</v>
      </c>
      <c r="D5" s="157">
        <v>2006</v>
      </c>
      <c r="E5" s="157">
        <v>2007</v>
      </c>
      <c r="F5" s="157">
        <v>2008</v>
      </c>
      <c r="G5" s="157">
        <v>2009</v>
      </c>
      <c r="H5" s="157">
        <v>2010</v>
      </c>
      <c r="I5" s="157">
        <v>2011</v>
      </c>
      <c r="J5" s="157">
        <v>2012</v>
      </c>
      <c r="K5" s="157">
        <v>2013</v>
      </c>
      <c r="L5" s="157">
        <v>2014</v>
      </c>
      <c r="M5" s="157">
        <v>2015</v>
      </c>
      <c r="N5" s="157">
        <v>2016</v>
      </c>
      <c r="O5" s="157">
        <v>2017</v>
      </c>
      <c r="P5" s="157">
        <v>2018</v>
      </c>
      <c r="Q5" s="157">
        <v>2019</v>
      </c>
      <c r="R5" s="157">
        <v>2020</v>
      </c>
      <c r="S5" s="157">
        <v>2021</v>
      </c>
      <c r="T5" s="157">
        <v>2022</v>
      </c>
      <c r="U5" s="157">
        <v>2023</v>
      </c>
      <c r="V5" s="157">
        <v>2024</v>
      </c>
      <c r="W5" s="157">
        <v>2025</v>
      </c>
      <c r="X5" s="157">
        <v>2026</v>
      </c>
      <c r="Y5" s="157">
        <v>2027</v>
      </c>
      <c r="Z5" s="157">
        <v>2028</v>
      </c>
      <c r="AA5" s="157">
        <v>2029</v>
      </c>
      <c r="AB5" s="157">
        <v>2030</v>
      </c>
    </row>
    <row r="6" spans="1:33" ht="40" customHeight="1" thickBot="1" x14ac:dyDescent="0.25">
      <c r="A6" s="213" t="s">
        <v>56</v>
      </c>
      <c r="B6" s="206" t="s">
        <v>57</v>
      </c>
      <c r="C6" s="214">
        <f>SUM('C1G'!C13+'C1G'!D13+'C1G'!E13+'C1G'!F13)</f>
        <v>501398</v>
      </c>
      <c r="D6" s="215">
        <f>SUM('C1G'!G13+'C1G'!H13+'C1G'!I13+'C1G'!J13)</f>
        <v>543638.00000000012</v>
      </c>
      <c r="E6" s="224">
        <f>SUM('C1G'!K13+'C1G'!L13+'C1G'!M13+'C1G'!N13)</f>
        <v>588889</v>
      </c>
      <c r="F6" s="224">
        <f>SUM('C1G'!O13+'C1G'!P13+'C1G'!Q13+'C1G'!R13)</f>
        <v>620158.00000000012</v>
      </c>
      <c r="G6" s="224">
        <f>SUM('C1G'!S13+'C1G'!T13+'C1G'!U13+'C1G'!V13)</f>
        <v>621733</v>
      </c>
      <c r="H6" s="224">
        <f>SUM('C1G'!W13+'C1G'!X13+'C1G'!Y13+'C1G'!Z13)</f>
        <v>659317</v>
      </c>
      <c r="I6" s="224">
        <f>SUM('C1G'!AA13+'C1G'!AB13+'C1G'!AC13+'C1G'!AD13)</f>
        <v>714946</v>
      </c>
      <c r="J6" s="224">
        <f>SUM('C1G'!AE13+'C1G'!AF13+'C1G'!AG13+'C1G'!AH13)</f>
        <v>749968</v>
      </c>
      <c r="K6" s="224">
        <f>SUM('C1G'!AI13+'C1G'!AJ13+'C1G'!AK13+'C1G'!AL13)</f>
        <v>794137</v>
      </c>
      <c r="L6" s="224">
        <f>SUM('C1G'!AM13+'C1G'!AN13+'C1G'!AO13+'C1G'!AP13)</f>
        <v>841681</v>
      </c>
      <c r="M6" s="224">
        <f>SUM('C1G'!AQ13+'C1G'!AR13+'C1G'!AS13+'C1G'!AT13)</f>
        <v>861506</v>
      </c>
      <c r="N6" s="224">
        <f>SUM('C1G'!AU13+'C1G'!AV13+'C1G'!AW13+'C1G'!AX13)</f>
        <v>872095.00000000012</v>
      </c>
      <c r="O6" s="224">
        <f>SUM('C1G'!AY13+'C1G'!AZ13+'C1G'!BA13+'C1G'!BB13)</f>
        <v>881898</v>
      </c>
      <c r="P6" s="224">
        <f>SUM('C1G'!BC13+'C1G'!BD13+'C1G'!BE13+'C1G'!BF13)</f>
        <v>912440.99999999988</v>
      </c>
      <c r="Q6" s="224">
        <f>SUM('C1G'!BG13+'C1G'!BH13+'C1G'!BI13+'C1G'!BJ13)</f>
        <v>949135</v>
      </c>
      <c r="R6" s="224">
        <f>SUM('C1G'!BK13+'C1G'!BL13+'C1G'!BM13+'C1G'!BN13)</f>
        <v>877560</v>
      </c>
      <c r="S6" s="225">
        <f>SUM('C1G'!BO13:BR13)</f>
        <v>994916</v>
      </c>
      <c r="T6" s="224">
        <f>SUM('C1G'!BS13:BV13)</f>
        <v>1096913</v>
      </c>
      <c r="U6" s="215">
        <f>SUM('C1G'!BW13:'C1G'!BZ13)</f>
        <v>1070480</v>
      </c>
      <c r="V6" s="224">
        <f>SUM('C1G'!CA13:'C1G'!CD13)</f>
        <v>1087723</v>
      </c>
      <c r="W6" s="224">
        <f>SUM('C1G'!CE13:CH13)</f>
        <v>1130011.6858933882</v>
      </c>
      <c r="X6" s="232">
        <f>W6*(1+AVERAGE(W6/V6-1,(V6/U6-1)))</f>
        <v>1161079.0424032235</v>
      </c>
      <c r="Y6" s="232">
        <f>X6*(1+AVERAGE(X6/W6-1,(W6/V6-1)))</f>
        <v>1199610.1048203451</v>
      </c>
      <c r="Z6" s="232">
        <f t="shared" ref="Z6:AB6" si="0">Y6*(1+AVERAGE(Y6/X6-1,(X6/W6-1)))</f>
        <v>1236005.3847743124</v>
      </c>
      <c r="AA6" s="232">
        <f t="shared" si="0"/>
        <v>1275263.8952966733</v>
      </c>
      <c r="AB6" s="232">
        <f t="shared" si="0"/>
        <v>1314861.9029177264</v>
      </c>
      <c r="AC6" s="231"/>
      <c r="AG6" s="231"/>
    </row>
    <row r="7" spans="1:33" ht="40" customHeight="1" thickBot="1" x14ac:dyDescent="0.25">
      <c r="A7" s="209" t="s">
        <v>58</v>
      </c>
      <c r="B7" s="210" t="s">
        <v>59</v>
      </c>
      <c r="C7" s="227">
        <f>SUM('C1G'!C14+'C1G'!D14+'C1G'!E14+'C1G'!F14)</f>
        <v>419077</v>
      </c>
      <c r="D7" s="228">
        <f>SUM('C1G'!G14+'C1G'!H14+'C1G'!I14+'C1G'!J14)</f>
        <v>444942.99999999994</v>
      </c>
      <c r="E7" s="229">
        <f>SUM('C1G'!K14+'C1G'!L14+'C1G'!M14+'C1G'!N14)</f>
        <v>472591</v>
      </c>
      <c r="F7" s="229">
        <f>SUM('C1G'!O14+'C1G'!P14+'C1G'!Q14+'C1G'!R14)</f>
        <v>492507</v>
      </c>
      <c r="G7" s="229">
        <f>SUM('C1G'!S14+'C1G'!T14+'C1G'!U14+'C1G'!V14)</f>
        <v>503416.00000000012</v>
      </c>
      <c r="H7" s="229">
        <f>SUM('C1G'!W14+'C1G'!X14+'C1G'!Y14+'C1G'!Z14)</f>
        <v>529002</v>
      </c>
      <c r="I7" s="229">
        <f>SUM('C1G'!AA14+'C1G'!AB14+'C1G'!AC14+'C1G'!AD14)</f>
        <v>558993</v>
      </c>
      <c r="J7" s="229">
        <f>SUM('C1G'!AE14+'C1G'!AF14+'C1G'!AG14+'C1G'!AH14)</f>
        <v>589694.00000000012</v>
      </c>
      <c r="K7" s="229">
        <f>SUM('C1G'!AI14+'C1G'!AJ14+'C1G'!AK14+'C1G'!AL14)</f>
        <v>621266.00000000012</v>
      </c>
      <c r="L7" s="229">
        <f>SUM('C1G'!AM14+'C1G'!AN14+'C1G'!AO14+'C1G'!AP14)</f>
        <v>648134</v>
      </c>
      <c r="M7" s="229">
        <f>SUM('C1G'!AQ14+'C1G'!AR14+'C1G'!AS14+'C1G'!AT14)</f>
        <v>670201</v>
      </c>
      <c r="N7" s="229">
        <f>SUM('C1G'!AU14+'C1G'!AV14+'C1G'!AW14+'C1G'!AX14)</f>
        <v>681101</v>
      </c>
      <c r="O7" s="229">
        <f>SUM('C1G'!AY14+'C1G'!AZ14+'C1G'!BA14+'C1G'!BB14)</f>
        <v>696973.00000000012</v>
      </c>
      <c r="P7" s="229">
        <f>SUM('C1G'!BC14+'C1G'!BD14+'C1G'!BE14+'C1G'!BF14)</f>
        <v>724648.00000000012</v>
      </c>
      <c r="Q7" s="229">
        <f>SUM('C1G'!BG14+'C1G'!BH14+'C1G'!BI14+'C1G'!BJ14)</f>
        <v>755755.99999999988</v>
      </c>
      <c r="R7" s="229">
        <f>SUM('C1G'!BK14+'C1G'!BL14+'C1G'!BM14+'C1G'!BN14)</f>
        <v>723908</v>
      </c>
      <c r="S7" s="230">
        <f>SUM('C1G'!BO14:BR14)</f>
        <v>823563</v>
      </c>
      <c r="T7" s="229">
        <f>SUM('C1G'!BS14:BV14)</f>
        <v>897827</v>
      </c>
      <c r="U7" s="228">
        <f>SUM('C1G'!BW14:'C1G'!BZ14)</f>
        <v>903922</v>
      </c>
      <c r="V7" s="229">
        <f>SUM('C1G'!CA14:'C1G'!CD14)</f>
        <v>917168</v>
      </c>
      <c r="W7" s="229">
        <f>SUM('C1G'!CE14:CH14)</f>
        <v>955925.23650807329</v>
      </c>
      <c r="X7" s="226">
        <f>W7*(1+AVERAGE(W7/V7-1,(V7/U7-1)))</f>
        <v>983126.77254331508</v>
      </c>
      <c r="Y7" s="226">
        <f t="shared" ref="Y7:Y14" si="1">X7*(1+AVERAGE(X7/W7-1,(W7/V7-1)))</f>
        <v>1017886.8051585588</v>
      </c>
      <c r="Z7" s="226">
        <f t="shared" ref="Z7:Z14" si="2">Y7*(1+AVERAGE(Y7/X7-1,(X7/W7-1)))</f>
        <v>1050363.6683580009</v>
      </c>
      <c r="AA7" s="226">
        <f t="shared" ref="AA7:AA14" si="3">Z7*(1+AVERAGE(Z7/Y7-1,(Y7/X7-1)))</f>
        <v>1085688.8567699315</v>
      </c>
      <c r="AB7" s="226">
        <f t="shared" ref="AB7:AB14" si="4">AA7*(1+AVERAGE(AA7/Z7-1,(Z7/Y7-1)))</f>
        <v>1121265.5518246496</v>
      </c>
      <c r="AC7" s="231"/>
    </row>
    <row r="8" spans="1:33" ht="40" customHeight="1" thickBot="1" x14ac:dyDescent="0.25">
      <c r="A8" s="207" t="s">
        <v>60</v>
      </c>
      <c r="B8" s="208" t="s">
        <v>61</v>
      </c>
      <c r="C8" s="214">
        <f>SUM('C1G'!C15+'C1G'!D15+'C1G'!E15+'C1G'!F15)</f>
        <v>348741</v>
      </c>
      <c r="D8" s="215">
        <f>SUM('C1G'!G15+'C1G'!H15+'C1G'!I15+'C1G'!J15)</f>
        <v>370953</v>
      </c>
      <c r="E8" s="224">
        <f>SUM('C1G'!K15+'C1G'!L15+'C1G'!M15+'C1G'!N15)</f>
        <v>395261.00000000006</v>
      </c>
      <c r="F8" s="224">
        <f>SUM('C1G'!O15+'C1G'!P15+'C1G'!Q15+'C1G'!R15)</f>
        <v>411526.00000000006</v>
      </c>
      <c r="G8" s="224">
        <f>SUM('C1G'!S15+'C1G'!T15+'C1G'!U15+'C1G'!V15)</f>
        <v>418556.00000000006</v>
      </c>
      <c r="H8" s="224">
        <f>SUM('C1G'!W15+'C1G'!X15+'C1G'!Y15+'C1G'!Z15)</f>
        <v>439704.00000000006</v>
      </c>
      <c r="I8" s="224">
        <f>SUM('C1G'!AA15+'C1G'!AB15+'C1G'!AC15+'C1G'!AD15)</f>
        <v>463891</v>
      </c>
      <c r="J8" s="224">
        <f>SUM('C1G'!AE15+'C1G'!AF15+'C1G'!AG15+'C1G'!AH15)</f>
        <v>490025.99999999988</v>
      </c>
      <c r="K8" s="224">
        <f>SUM('C1G'!AI15+'C1G'!AJ15+'C1G'!AK15+'C1G'!AL15)</f>
        <v>512698.99999999994</v>
      </c>
      <c r="L8" s="224">
        <f>SUM('C1G'!AM15+'C1G'!AN15+'C1G'!AO15+'C1G'!AP15)</f>
        <v>534484</v>
      </c>
      <c r="M8" s="224">
        <f>SUM('C1G'!AQ15+'C1G'!AR15+'C1G'!AS15+'C1G'!AT15)</f>
        <v>551013</v>
      </c>
      <c r="N8" s="224">
        <f>SUM('C1G'!AU15+'C1G'!AV15+'C1G'!AW15+'C1G'!AX15)</f>
        <v>559739</v>
      </c>
      <c r="O8" s="224">
        <f>SUM('C1G'!AY15+'C1G'!AZ15+'C1G'!BA15+'C1G'!BB15)</f>
        <v>571234.99999999988</v>
      </c>
      <c r="P8" s="224">
        <f>SUM('C1G'!BC15+'C1G'!BD15+'C1G'!BE15+'C1G'!BF15)</f>
        <v>589723</v>
      </c>
      <c r="Q8" s="224">
        <f>SUM('C1G'!BG15+'C1G'!BH15+'C1G'!BI15+'C1G'!BJ15)</f>
        <v>613728</v>
      </c>
      <c r="R8" s="224">
        <f>SUM('C1G'!BK15+'C1G'!BL15+'C1G'!BM15+'C1G'!BN15)</f>
        <v>582997</v>
      </c>
      <c r="S8" s="225">
        <f>SUM('C1G'!BO15:BR15)</f>
        <v>668838</v>
      </c>
      <c r="T8" s="224">
        <f>SUM('C1G'!BS15:BV15)</f>
        <v>741003.99999999988</v>
      </c>
      <c r="U8" s="215">
        <f>SUM('C1G'!BW15:'C1G'!BZ15)</f>
        <v>744807</v>
      </c>
      <c r="V8" s="224">
        <f>SUM('C1G'!CA15:'C1G'!CD15)</f>
        <v>757023</v>
      </c>
      <c r="W8" s="224">
        <f>SUM('C1G'!CE15:CH15)</f>
        <v>784516.15422914457</v>
      </c>
      <c r="X8" s="232">
        <f t="shared" ref="X8:X14" si="5">W8*(1+AVERAGE(W8/V8-1,(V8/U8-1)))</f>
        <v>805195.61826503684</v>
      </c>
      <c r="Y8" s="232">
        <f t="shared" si="1"/>
        <v>830429.23132445221</v>
      </c>
      <c r="Z8" s="232">
        <f t="shared" si="2"/>
        <v>854386.28469378524</v>
      </c>
      <c r="AA8" s="232">
        <f t="shared" si="3"/>
        <v>880097.96698120434</v>
      </c>
      <c r="AB8" s="232">
        <f t="shared" si="4"/>
        <v>906035.66189593379</v>
      </c>
      <c r="AC8" s="231"/>
    </row>
    <row r="9" spans="1:33" ht="40" customHeight="1" thickBot="1" x14ac:dyDescent="0.25">
      <c r="A9" s="199" t="s">
        <v>62</v>
      </c>
      <c r="B9" s="205" t="s">
        <v>63</v>
      </c>
      <c r="C9" s="227">
        <f>SUM('C1G'!C16+'C1G'!D16+'C1G'!E16+'C1G'!F16)</f>
        <v>70375</v>
      </c>
      <c r="D9" s="228">
        <f>SUM('C1G'!G16+'C1G'!H16+'C1G'!I16+'C1G'!J16)</f>
        <v>74044</v>
      </c>
      <c r="E9" s="229">
        <f>SUM('C1G'!K16+'C1G'!L16+'C1G'!M16+'C1G'!N16)</f>
        <v>77427.000000000015</v>
      </c>
      <c r="F9" s="229">
        <f>SUM('C1G'!O16+'C1G'!P16+'C1G'!Q16+'C1G'!R16)</f>
        <v>81064</v>
      </c>
      <c r="G9" s="229">
        <f>SUM('C1G'!S16+'C1G'!T16+'C1G'!U16+'C1G'!V16)</f>
        <v>84925</v>
      </c>
      <c r="H9" s="229">
        <f>SUM('C1G'!W16+'C1G'!X16+'C1G'!Y16+'C1G'!Z16)</f>
        <v>89363</v>
      </c>
      <c r="I9" s="229">
        <f>SUM('C1G'!AA16+'C1G'!AB16+'C1G'!AC16+'C1G'!AD16)</f>
        <v>95151</v>
      </c>
      <c r="J9" s="229">
        <f>SUM('C1G'!AE16+'C1G'!AF16+'C1G'!AG16+'C1G'!AH16)</f>
        <v>99725</v>
      </c>
      <c r="K9" s="229">
        <f>SUM('C1G'!AI16+'C1G'!AJ16+'C1G'!AK16+'C1G'!AL16)</f>
        <v>108596.00000000003</v>
      </c>
      <c r="L9" s="229">
        <f>SUM('C1G'!AM16+'C1G'!AN16+'C1G'!AO16+'C1G'!AP16)</f>
        <v>113674</v>
      </c>
      <c r="M9" s="229">
        <f>SUM('C1G'!AQ16+'C1G'!AR16+'C1G'!AS16+'C1G'!AT16)</f>
        <v>119188</v>
      </c>
      <c r="N9" s="229">
        <f>SUM('C1G'!AU16+'C1G'!AV16+'C1G'!AW16+'C1G'!AX16)</f>
        <v>121362.00000000001</v>
      </c>
      <c r="O9" s="229">
        <f>SUM('C1G'!AY16+'C1G'!AZ16+'C1G'!BA16+'C1G'!BB16)</f>
        <v>125783</v>
      </c>
      <c r="P9" s="229">
        <f>SUM('C1G'!BC16+'C1G'!BD16+'C1G'!BE16+'C1G'!BF16)</f>
        <v>135030</v>
      </c>
      <c r="Q9" s="229">
        <f>SUM('C1G'!BG16+'C1G'!BH16+'C1G'!BI16+'C1G'!BJ16)</f>
        <v>142152</v>
      </c>
      <c r="R9" s="229">
        <f>SUM('C1G'!BK16+'C1G'!BL16+'C1G'!BM16+'C1G'!BN16)</f>
        <v>141071</v>
      </c>
      <c r="S9" s="230">
        <f>SUM('C1G'!BO16:BR16)</f>
        <v>154922</v>
      </c>
      <c r="T9" s="229">
        <f>SUM('C1G'!BS16:BV16)</f>
        <v>156452</v>
      </c>
      <c r="U9" s="228">
        <f>SUM('C1G'!BW16:'C1G'!BZ16)</f>
        <v>158878</v>
      </c>
      <c r="V9" s="229">
        <f>SUM('C1G'!CA16:'C1G'!CD16)</f>
        <v>159810.99999999997</v>
      </c>
      <c r="W9" s="229">
        <f>SUM('C1G'!CE16:CH16)</f>
        <v>171226.2309509097</v>
      </c>
      <c r="X9" s="226">
        <f t="shared" si="5"/>
        <v>177844.29600687011</v>
      </c>
      <c r="Y9" s="226">
        <f t="shared" si="1"/>
        <v>187632.8967129325</v>
      </c>
      <c r="Z9" s="226">
        <f t="shared" si="2"/>
        <v>196422.68029872631</v>
      </c>
      <c r="AA9" s="226">
        <f t="shared" si="3"/>
        <v>206429.03375553427</v>
      </c>
      <c r="AB9" s="226">
        <f t="shared" si="4"/>
        <v>216522.23748429504</v>
      </c>
      <c r="AC9" s="231"/>
    </row>
    <row r="10" spans="1:33" ht="40" customHeight="1" thickBot="1" x14ac:dyDescent="0.25">
      <c r="A10" s="201" t="s">
        <v>64</v>
      </c>
      <c r="B10" s="200" t="s">
        <v>65</v>
      </c>
      <c r="C10" s="214">
        <f>SUM('C1G'!C17+'C1G'!D17+'C1G'!E17+'C1G'!F17)</f>
        <v>86720.000000000015</v>
      </c>
      <c r="D10" s="215">
        <f>SUM('C1G'!G17+'C1G'!H17+'C1G'!I17+'C1G'!J17)</f>
        <v>101405</v>
      </c>
      <c r="E10" s="224">
        <f>SUM('C1G'!K17+'C1G'!L17+'C1G'!M17+'C1G'!N17)</f>
        <v>117424</v>
      </c>
      <c r="F10" s="224">
        <f>SUM('C1G'!O17+'C1G'!P17+'C1G'!Q17+'C1G'!R17)</f>
        <v>128090</v>
      </c>
      <c r="G10" s="224">
        <f>SUM('C1G'!S17+'C1G'!T17+'C1G'!U17+'C1G'!V17)</f>
        <v>120026</v>
      </c>
      <c r="H10" s="224">
        <f>SUM('C1G'!W17+'C1G'!X17+'C1G'!Y17+'C1G'!Z17)</f>
        <v>131503</v>
      </c>
      <c r="I10" s="224">
        <f>SUM('C1G'!AA17+'C1G'!AB17+'C1G'!AC17+'C1G'!AD17)</f>
        <v>155852</v>
      </c>
      <c r="J10" s="224">
        <f>SUM('C1G'!AE17+'C1G'!AF17+'C1G'!AG17+'C1G'!AH17)</f>
        <v>160351</v>
      </c>
      <c r="K10" s="224">
        <f>SUM('C1G'!AI17+'C1G'!AJ17+'C1G'!AK17+'C1G'!AL17)</f>
        <v>172869</v>
      </c>
      <c r="L10" s="224">
        <f>SUM('C1G'!AM17+'C1G'!AN17+'C1G'!AO17+'C1G'!AP17)</f>
        <v>193533</v>
      </c>
      <c r="M10" s="224">
        <f>SUM('C1G'!AQ17+'C1G'!AR17+'C1G'!AS17+'C1G'!AT17)</f>
        <v>191305</v>
      </c>
      <c r="N10" s="224">
        <f>SUM('C1G'!AU17+'C1G'!AV17+'C1G'!AW17+'C1G'!AX17)</f>
        <v>190994</v>
      </c>
      <c r="O10" s="224">
        <f>SUM('C1G'!AY17+'C1G'!AZ17+'C1G'!BA17+'C1G'!BB17)</f>
        <v>184828</v>
      </c>
      <c r="P10" s="224">
        <f>SUM('C1G'!BC17+'C1G'!BD17+'C1G'!BE17+'C1G'!BF17)</f>
        <v>187607.99999999997</v>
      </c>
      <c r="Q10" s="224">
        <f>SUM('C1G'!BG17+'C1G'!BH17+'C1G'!BI17+'C1G'!BJ17)</f>
        <v>193147</v>
      </c>
      <c r="R10" s="224">
        <f>SUM('C1G'!BK17+'C1G'!BL17+'C1G'!BM17+'C1G'!BN17)</f>
        <v>153203</v>
      </c>
      <c r="S10" s="225">
        <f>SUM('C1G'!BO17:BR17)</f>
        <v>170923</v>
      </c>
      <c r="T10" s="224">
        <f>SUM('C1G'!BS17:BV17)</f>
        <v>198344</v>
      </c>
      <c r="U10" s="215">
        <f>SUM('C1G'!BW17:'C1G'!BZ17)</f>
        <v>166406</v>
      </c>
      <c r="V10" s="224">
        <f>SUM('C1G'!CA17:'C1G'!CD17)</f>
        <v>170387.99999999997</v>
      </c>
      <c r="W10" s="224">
        <f>SUM('C1G'!CE17:CH17)</f>
        <v>173947.39176549573</v>
      </c>
      <c r="X10" s="232">
        <f t="shared" si="5"/>
        <v>177845.49594032613</v>
      </c>
      <c r="Y10" s="232">
        <f t="shared" si="1"/>
        <v>181695.81477896898</v>
      </c>
      <c r="Z10" s="232">
        <f t="shared" si="2"/>
        <v>185698.5254089665</v>
      </c>
      <c r="AA10" s="232">
        <f t="shared" si="3"/>
        <v>189754.13771619822</v>
      </c>
      <c r="AB10" s="232">
        <f t="shared" si="4"/>
        <v>193916.34735530525</v>
      </c>
      <c r="AC10" s="231"/>
    </row>
    <row r="11" spans="1:33" ht="40" customHeight="1" thickBot="1" x14ac:dyDescent="0.25">
      <c r="A11" s="203" t="s">
        <v>66</v>
      </c>
      <c r="B11" s="204" t="s">
        <v>67</v>
      </c>
      <c r="C11" s="227">
        <f>SUM('C1G'!C18+'C1G'!D18+'C1G'!E18+'C1G'!F18)</f>
        <v>85938.000000000015</v>
      </c>
      <c r="D11" s="228">
        <f>SUM('C1G'!G18+'C1G'!H18+'C1G'!I18+'C1G'!J18)</f>
        <v>102070</v>
      </c>
      <c r="E11" s="229">
        <f>SUM('C1G'!K18+'C1G'!L18+'C1G'!M18+'C1G'!N18)</f>
        <v>122373</v>
      </c>
      <c r="F11" s="229">
        <f>SUM('C1G'!O18+'C1G'!P18+'C1G'!Q18+'C1G'!R18)</f>
        <v>119050.00000000001</v>
      </c>
      <c r="G11" s="229">
        <f>SUM('C1G'!S18+'C1G'!T18+'C1G'!U18+'C1G'!V18)</f>
        <v>124354</v>
      </c>
      <c r="H11" s="229">
        <f>SUM('C1G'!W18+'C1G'!X18+'C1G'!Y18+'C1G'!Z18)</f>
        <v>133189</v>
      </c>
      <c r="I11" s="229">
        <f>SUM('C1G'!AA18+'C1G'!AB18+'C1G'!AC18+'C1G'!AD18)</f>
        <v>149454</v>
      </c>
      <c r="J11" s="229">
        <f>SUM('C1G'!AE18+'C1G'!AF18+'C1G'!AG18+'C1G'!AH18)</f>
        <v>154437</v>
      </c>
      <c r="K11" s="229">
        <f>SUM('C1G'!AI18+'C1G'!AJ18+'C1G'!AK18+'C1G'!AL18)</f>
        <v>167533</v>
      </c>
      <c r="L11" s="229">
        <f>SUM('C1G'!AM18+'C1G'!AN18+'C1G'!AO18+'C1G'!AP18)</f>
        <v>182957.00000000003</v>
      </c>
      <c r="M11" s="229">
        <f>SUM('C1G'!AQ18+'C1G'!AR18+'C1G'!AS18+'C1G'!AT18)</f>
        <v>188095</v>
      </c>
      <c r="N11" s="229">
        <f>SUM('C1G'!AU18+'C1G'!AV18+'C1G'!AW18+'C1G'!AX18)</f>
        <v>182659</v>
      </c>
      <c r="O11" s="229">
        <f>SUM('C1G'!AY18+'C1G'!AZ18+'C1G'!BA18+'C1G'!BB18)</f>
        <v>186046.00000000003</v>
      </c>
      <c r="P11" s="229">
        <f>SUM('C1G'!BC18+'C1G'!BD18+'C1G'!BE18+'C1G'!BF18)</f>
        <v>187974.99999999997</v>
      </c>
      <c r="Q11" s="229">
        <f>SUM('C1G'!BG18+'C1G'!BH18+'C1G'!BI18+'C1G'!BJ18)</f>
        <v>192179.00000000003</v>
      </c>
      <c r="R11" s="229">
        <f>SUM('C1G'!BK18+'C1G'!BL18+'C1G'!BM18+'C1G'!BN18)</f>
        <v>146783</v>
      </c>
      <c r="S11" s="230">
        <f>SUM('C1G'!BO18:BR18)</f>
        <v>171289.99999999997</v>
      </c>
      <c r="T11" s="229">
        <f>SUM('C1G'!BS18:BV18)</f>
        <v>190985</v>
      </c>
      <c r="U11" s="228">
        <f>SUM('C1G'!BW18:'C1G'!BZ18)</f>
        <v>166508</v>
      </c>
      <c r="V11" s="229">
        <f>SUM('C1G'!CA18:'C1G'!CD18)</f>
        <v>167623</v>
      </c>
      <c r="W11" s="229">
        <f>SUM('C1G'!CE18:CH18)</f>
        <v>169864.80594819877</v>
      </c>
      <c r="X11" s="226">
        <f t="shared" si="5"/>
        <v>171569.43920093676</v>
      </c>
      <c r="Y11" s="226">
        <f t="shared" si="1"/>
        <v>173577.60202573103</v>
      </c>
      <c r="Z11" s="226">
        <f t="shared" si="2"/>
        <v>175464.38189179514</v>
      </c>
      <c r="AA11" s="226">
        <f t="shared" si="3"/>
        <v>177444.90233854859</v>
      </c>
      <c r="AB11" s="226">
        <f t="shared" si="4"/>
        <v>179410.74854731659</v>
      </c>
      <c r="AC11" s="231"/>
    </row>
    <row r="12" spans="1:33" ht="40" customHeight="1" thickBot="1" x14ac:dyDescent="0.25">
      <c r="A12" s="198" t="s">
        <v>68</v>
      </c>
      <c r="B12" s="202" t="s">
        <v>69</v>
      </c>
      <c r="C12" s="214">
        <f>SUM('C1G'!C19+'C1G'!D19+'C1G'!E19+'C1G'!F19)</f>
        <v>88125</v>
      </c>
      <c r="D12" s="215">
        <f>SUM('C1G'!G19+'C1G'!H19+'C1G'!I19+'C1G'!J19)</f>
        <v>96513.000000000015</v>
      </c>
      <c r="E12" s="224">
        <f>SUM('C1G'!K19+'C1G'!L19+'C1G'!M19+'C1G'!N19)</f>
        <v>102516</v>
      </c>
      <c r="F12" s="224">
        <f>SUM('C1G'!O19+'C1G'!P19+'C1G'!Q19+'C1G'!R19)</f>
        <v>104603.99999999999</v>
      </c>
      <c r="G12" s="224">
        <f>SUM('C1G'!S19+'C1G'!T19+'C1G'!U19+'C1G'!V19)</f>
        <v>99158.000000000015</v>
      </c>
      <c r="H12" s="224">
        <f>SUM('C1G'!W19+'C1G'!X19+'C1G'!Y19+'C1G'!Z19)</f>
        <v>101203</v>
      </c>
      <c r="I12" s="224">
        <f>SUM('C1G'!AA19+'C1G'!AB19+'C1G'!AC19+'C1G'!AD19)</f>
        <v>113608</v>
      </c>
      <c r="J12" s="224">
        <f>SUM('C1G'!AE19+'C1G'!AF19+'C1G'!AG19+'C1G'!AH19)</f>
        <v>118690</v>
      </c>
      <c r="K12" s="224">
        <f>SUM('C1G'!AI19+'C1G'!AJ19+'C1G'!AK19+'C1G'!AL19)</f>
        <v>124241</v>
      </c>
      <c r="L12" s="224">
        <f>SUM('C1G'!AM19+'C1G'!AN19+'C1G'!AO19+'C1G'!AP19)</f>
        <v>123882.00000000001</v>
      </c>
      <c r="M12" s="224">
        <f>SUM('C1G'!AQ19+'C1G'!AR19+'C1G'!AS19+'C1G'!AT19)</f>
        <v>125936</v>
      </c>
      <c r="N12" s="224">
        <f>SUM('C1G'!AU19+'C1G'!AV19+'C1G'!AW19+'C1G'!AX19)</f>
        <v>125673</v>
      </c>
      <c r="O12" s="224">
        <f>SUM('C1G'!AY19+'C1G'!AZ19+'C1G'!BA19+'C1G'!BB19)</f>
        <v>128902</v>
      </c>
      <c r="P12" s="224">
        <f>SUM('C1G'!BC19+'C1G'!BD19+'C1G'!BE19+'C1G'!BF19)</f>
        <v>129730</v>
      </c>
      <c r="Q12" s="224">
        <f>SUM('C1G'!BG19+'C1G'!BH19+'C1G'!BI19+'C1G'!BJ19)</f>
        <v>133731</v>
      </c>
      <c r="R12" s="224">
        <f>SUM('C1G'!BK19+'C1G'!BL19+'C1G'!BM19+'C1G'!BN19)</f>
        <v>103696</v>
      </c>
      <c r="S12" s="225">
        <f>SUM('C1G'!BO19:BR19)</f>
        <v>118871</v>
      </c>
      <c r="T12" s="224">
        <f>SUM('C1G'!BS19:BV19)</f>
        <v>133683</v>
      </c>
      <c r="U12" s="215">
        <f>SUM('C1G'!BW19:'C1G'!BZ19)</f>
        <v>137845</v>
      </c>
      <c r="V12" s="224">
        <f>SUM('C1G'!CA19:'C1G'!CD19)</f>
        <v>138383</v>
      </c>
      <c r="W12" s="224">
        <f>SUM('C1G'!CE19:CH19)</f>
        <v>140934.00773097412</v>
      </c>
      <c r="X12" s="232">
        <f t="shared" si="5"/>
        <v>142508.05284370799</v>
      </c>
      <c r="Y12" s="232">
        <f t="shared" si="1"/>
        <v>144617.39069843048</v>
      </c>
      <c r="Z12" s="232">
        <f t="shared" si="2"/>
        <v>146495.26214098325</v>
      </c>
      <c r="AA12" s="232">
        <f t="shared" si="3"/>
        <v>148530.56737281353</v>
      </c>
      <c r="AB12" s="232">
        <f t="shared" si="4"/>
        <v>150526.7007786161</v>
      </c>
      <c r="AC12" s="231"/>
    </row>
    <row r="13" spans="1:33" ht="40" customHeight="1" thickBot="1" x14ac:dyDescent="0.25">
      <c r="A13" s="209" t="s">
        <v>70</v>
      </c>
      <c r="B13" s="210" t="s">
        <v>71</v>
      </c>
      <c r="C13" s="227">
        <f>SUM('C1G'!C20+'C1G'!D20+'C1G'!E20+'C1G'!F20)</f>
        <v>78708</v>
      </c>
      <c r="D13" s="228">
        <f>SUM('C1G'!G20+'C1G'!H20+'C1G'!I20+'C1G'!J20)</f>
        <v>92625</v>
      </c>
      <c r="E13" s="229">
        <f>SUM('C1G'!K20+'C1G'!L20+'C1G'!M20+'C1G'!N20)</f>
        <v>105460.99999999999</v>
      </c>
      <c r="F13" s="229">
        <f>SUM('C1G'!O20+'C1G'!P20+'C1G'!Q20+'C1G'!R20)</f>
        <v>118656</v>
      </c>
      <c r="G13" s="229">
        <f>SUM('C1G'!S20+'C1G'!T20+'C1G'!U20+'C1G'!V20)</f>
        <v>108395</v>
      </c>
      <c r="H13" s="229">
        <f>SUM('C1G'!W20+'C1G'!X20+'C1G'!Y20+'C1G'!Z20)</f>
        <v>120134</v>
      </c>
      <c r="I13" s="229">
        <f>SUM('C1G'!AA20+'C1G'!AB20+'C1G'!AC20+'C1G'!AD20)</f>
        <v>144435.99999999997</v>
      </c>
      <c r="J13" s="229">
        <f>SUM('C1G'!AE20+'C1G'!AF20+'C1G'!AG20+'C1G'!AH20)</f>
        <v>157977</v>
      </c>
      <c r="K13" s="229">
        <f>SUM('C1G'!AI20+'C1G'!AJ20+'C1G'!AK20+'C1G'!AL20)</f>
        <v>171443</v>
      </c>
      <c r="L13" s="229">
        <f>SUM('C1G'!AM20+'C1G'!AN20+'C1G'!AO20+'C1G'!AP20)</f>
        <v>184747</v>
      </c>
      <c r="M13" s="229">
        <f>SUM('C1G'!AQ20+'C1G'!AR20+'C1G'!AS20+'C1G'!AT20)</f>
        <v>182750.00000000003</v>
      </c>
      <c r="N13" s="229">
        <f>SUM('C1G'!AU20+'C1G'!AV20+'C1G'!AW20+'C1G'!AX20)</f>
        <v>176279</v>
      </c>
      <c r="O13" s="229">
        <f>SUM('C1G'!AY20+'C1G'!AZ20+'C1G'!BA20+'C1G'!BB20)</f>
        <v>178075</v>
      </c>
      <c r="P13" s="229">
        <f>SUM('C1G'!BC20+'C1G'!BD20+'C1G'!BE20+'C1G'!BF20)</f>
        <v>188413</v>
      </c>
      <c r="Q13" s="229">
        <f>SUM('C1G'!BG20+'C1G'!BH20+'C1G'!BI20+'C1G'!BJ20)</f>
        <v>202250.00000000003</v>
      </c>
      <c r="R13" s="229">
        <f>SUM('C1G'!BK20+'C1G'!BL20+'C1G'!BM20+'C1G'!BN20)</f>
        <v>161613</v>
      </c>
      <c r="S13" s="230">
        <f>SUM('C1G'!BO20:BR20)</f>
        <v>204810</v>
      </c>
      <c r="T13" s="229">
        <f>SUM('C1G'!BS20:BV20)</f>
        <v>253971.00000000003</v>
      </c>
      <c r="U13" s="228">
        <f>SUM('C1G'!BW20:'C1G'!BZ20)</f>
        <v>228498.00000000003</v>
      </c>
      <c r="V13" s="229">
        <f>SUM('C1G'!CA20:'C1G'!CD20)</f>
        <v>231157</v>
      </c>
      <c r="W13" s="229">
        <f>SUM('C1G'!CE20:CH20)</f>
        <v>250618.83208520326</v>
      </c>
      <c r="X13" s="226">
        <f t="shared" si="5"/>
        <v>262627.23298808624</v>
      </c>
      <c r="Y13" s="226">
        <f t="shared" si="1"/>
        <v>279974.82949480147</v>
      </c>
      <c r="Z13" s="226">
        <f t="shared" si="2"/>
        <v>295929.0641218159</v>
      </c>
      <c r="AA13" s="226">
        <f t="shared" si="3"/>
        <v>314134.41265649174</v>
      </c>
      <c r="AB13" s="226">
        <f t="shared" si="4"/>
        <v>332747.4783056177</v>
      </c>
      <c r="AC13" s="231"/>
    </row>
    <row r="14" spans="1:33" ht="40" customHeight="1" x14ac:dyDescent="0.2">
      <c r="A14" s="198" t="s">
        <v>42</v>
      </c>
      <c r="B14" s="202" t="s">
        <v>46</v>
      </c>
      <c r="C14" s="214">
        <f>SUM('C1G'!C21+'C1G'!D21+'C1G'!E21+'C1G'!F21)</f>
        <v>514852.99999999994</v>
      </c>
      <c r="D14" s="215">
        <f>SUM('C1G'!G21+'C1G'!H21+'C1G'!I21+'C1G'!J21)</f>
        <v>549435</v>
      </c>
      <c r="E14" s="224">
        <f>SUM('C1G'!K21+'C1G'!L21+'C1G'!M21+'C1G'!N21)</f>
        <v>586457</v>
      </c>
      <c r="F14" s="224">
        <f>SUM('C1G'!O21+'C1G'!P21+'C1G'!Q21+'C1G'!R21)</f>
        <v>605713</v>
      </c>
      <c r="G14" s="224">
        <f>SUM('C1G'!S21+'C1G'!T21+'C1G'!U21+'C1G'!V21)</f>
        <v>612616.00000000012</v>
      </c>
      <c r="H14" s="224">
        <f>SUM('C1G'!W21+'C1G'!X21+'C1G'!Y21+'C1G'!Z21)</f>
        <v>640151.00000000012</v>
      </c>
      <c r="I14" s="224">
        <f>SUM('C1G'!AA21+'C1G'!AB21+'C1G'!AC21+'C1G'!AD21)</f>
        <v>684627.99999999988</v>
      </c>
      <c r="J14" s="224">
        <f>SUM('C1G'!AE21+'C1G'!AF21+'C1G'!AG21+'C1G'!AH21)</f>
        <v>711415</v>
      </c>
      <c r="K14" s="224">
        <f>SUM('C1G'!AI21+'C1G'!AJ21+'C1G'!AK21+'C1G'!AL21)</f>
        <v>747939.00000000012</v>
      </c>
      <c r="L14" s="224">
        <f>SUM('C1G'!AM21+'C1G'!AN21+'C1G'!AO21+'C1G'!AP21)</f>
        <v>781589</v>
      </c>
      <c r="M14" s="224">
        <f>SUM('C1G'!AQ21+'C1G'!AR21+'C1G'!AS21+'C1G'!AT21)</f>
        <v>804692</v>
      </c>
      <c r="N14" s="224">
        <f>SUM('C1G'!AU21+'C1G'!AV21+'C1G'!AW21+'C1G'!AX21)</f>
        <v>821489</v>
      </c>
      <c r="O14" s="224">
        <f>SUM('C1G'!AY21+'C1G'!AZ21+'C1G'!BA21+'C1G'!BB21)</f>
        <v>832656</v>
      </c>
      <c r="P14" s="224">
        <f>SUM('C1G'!BC21+'C1G'!BD21+'C1G'!BE21+'C1G'!BF21)</f>
        <v>854008</v>
      </c>
      <c r="Q14" s="224">
        <f>SUM('C1G'!BG21+'C1G'!BH21+'C1G'!BI21+'C1G'!BJ21)</f>
        <v>881224.00000000012</v>
      </c>
      <c r="R14" s="224">
        <f>SUM('C1G'!BK21+'C1G'!BL21+'C1G'!BM21+'C1G'!BN21)</f>
        <v>817900</v>
      </c>
      <c r="S14" s="225">
        <f>SUM('C1G'!BO21:BR21)</f>
        <v>906243</v>
      </c>
      <c r="T14" s="224">
        <f>SUM('C1G'!BS21:BV21)</f>
        <v>972655</v>
      </c>
      <c r="U14" s="215">
        <f>SUM('C1G'!BW21:'C1G'!BZ21)</f>
        <v>980843.00000000012</v>
      </c>
      <c r="V14" s="224">
        <f>SUM('C1G'!CA21:'C1G'!CD21)</f>
        <v>995490</v>
      </c>
      <c r="W14" s="224">
        <f>SUM('C1G'!CE21:CH21)</f>
        <v>1021790.9338006899</v>
      </c>
      <c r="X14" s="232">
        <f t="shared" si="5"/>
        <v>1042918.0764388411</v>
      </c>
      <c r="Y14" s="232">
        <f t="shared" si="1"/>
        <v>1067477.0601785316</v>
      </c>
      <c r="Z14" s="232">
        <f t="shared" si="2"/>
        <v>1091081.6013877746</v>
      </c>
      <c r="AA14" s="232">
        <f t="shared" si="3"/>
        <v>1115991.4264688676</v>
      </c>
      <c r="AB14" s="232">
        <f t="shared" si="4"/>
        <v>1141069.3461333597</v>
      </c>
      <c r="AC14" s="231"/>
    </row>
    <row r="15" spans="1:33" ht="40" customHeight="1" x14ac:dyDescent="0.2">
      <c r="A15" s="217"/>
      <c r="B15" s="218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</row>
    <row r="16" spans="1:33" ht="40" customHeight="1" x14ac:dyDescent="0.2">
      <c r="A16" s="217"/>
      <c r="B16" s="218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</row>
    <row r="17" spans="1:28" ht="40" customHeight="1" x14ac:dyDescent="0.2">
      <c r="A17" s="217"/>
      <c r="B17" s="218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40" customHeight="1" x14ac:dyDescent="0.2">
      <c r="A18" s="217"/>
      <c r="B18" s="218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</row>
    <row r="19" spans="1:28" s="143" customFormat="1" ht="40" customHeight="1" x14ac:dyDescent="0.2">
      <c r="A19" s="217"/>
      <c r="B19" s="219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</row>
    <row r="20" spans="1:28" ht="40" customHeight="1" x14ac:dyDescent="0.2">
      <c r="A20" s="220"/>
      <c r="B20" s="218"/>
      <c r="C20" s="220"/>
      <c r="D20" s="221"/>
      <c r="E20" s="221"/>
      <c r="F20" s="221"/>
      <c r="G20" s="221"/>
      <c r="H20" s="221"/>
      <c r="I20" s="221"/>
      <c r="J20" s="221"/>
      <c r="K20" s="222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3"/>
      <c r="Y20" s="223"/>
      <c r="Z20" s="223"/>
      <c r="AA20" s="223"/>
      <c r="AB20" s="223"/>
    </row>
  </sheetData>
  <mergeCells count="2">
    <mergeCell ref="A1:B2"/>
    <mergeCell ref="X3:A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C1P</vt:lpstr>
      <vt:lpstr>PIB oferta anual NORMAL</vt:lpstr>
      <vt:lpstr>C1G</vt:lpstr>
      <vt:lpstr>Proyección escenario 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Reina Reyes</dc:creator>
  <cp:lastModifiedBy>Paula Mariana Medina Obregoso</cp:lastModifiedBy>
  <dcterms:created xsi:type="dcterms:W3CDTF">2026-03-30T18:04:36Z</dcterms:created>
  <dcterms:modified xsi:type="dcterms:W3CDTF">2026-04-12T00:29:33Z</dcterms:modified>
</cp:coreProperties>
</file>